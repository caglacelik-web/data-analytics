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DataAnalytics/week-04/Capstone_1/"/>
    </mc:Choice>
  </mc:AlternateContent>
  <xr:revisionPtr revIDLastSave="0" documentId="13_ncr:9_{D3EA071D-9B44-5343-8735-92A8114DC905}" xr6:coauthVersionLast="47" xr6:coauthVersionMax="47" xr10:uidLastSave="{00000000-0000-0000-0000-000000000000}"/>
  <bookViews>
    <workbookView xWindow="0" yWindow="740" windowWidth="29400" windowHeight="18380" xr2:uid="{239FAE19-AF82-3143-8D39-50B531BE00D0}"/>
  </bookViews>
  <sheets>
    <sheet name="Q13" sheetId="1" r:id="rId1"/>
    <sheet name="Q13 Chart" sheetId="2" r:id="rId2"/>
    <sheet name="Q6 " sheetId="15" r:id="rId3"/>
    <sheet name="Q6 Chart" sheetId="16" r:id="rId4"/>
    <sheet name="Q10 " sheetId="17" r:id="rId5"/>
    <sheet name="Q10 Chart" sheetId="18" r:id="rId6"/>
    <sheet name="Q7 Chart" sheetId="7" r:id="rId7"/>
    <sheet name="Q7" sheetId="6" r:id="rId8"/>
  </sheets>
  <definedNames>
    <definedName name="ExternalData_1" localSheetId="4" hidden="1">'Q10 '!$A$1:$D$11</definedName>
    <definedName name="ExternalData_1" localSheetId="2" hidden="1">'Q6 '!$A$1:$B$11</definedName>
    <definedName name="ExternalData_1" localSheetId="7" hidden="1">'Q7'!$A$1:$B$9</definedName>
  </definedNames>
  <calcPr calcId="0"/>
  <pivotCaches>
    <pivotCache cacheId="30" r:id="rId9"/>
    <pivotCache cacheId="19" r:id="rId10"/>
    <pivotCache cacheId="32" r:id="rId11"/>
    <pivotCache cacheId="31" r:id="rId1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5DE326-6995-DF41-9AAB-C9EED57A3803}" keepAlive="1" name="Query - Q10" description="Connection to the 'Q10' query in the workbook." type="5" refreshedVersion="0" background="1">
    <dbPr connection="Provider=Microsoft.Mashup.OleDb.1;Data Source=$Workbook$;Location=Q10;Extended Properties=&quot;&quot;" command="SELECT * FROM [Q10]"/>
  </connection>
  <connection id="2" xr16:uid="{AD62EC7F-AFAF-CE47-A23B-51EDB333678D}" keepAlive="1" name="Query - Q10 (2)" description="Connection to the 'Q10 (2)' query in the workbook." type="5" refreshedVersion="0" background="1">
    <dbPr connection="Provider=Microsoft.Mashup.OleDb.1;Data Source=$Workbook$;Location=&quot;Q10 (2)&quot;;Extended Properties=&quot;&quot;" command="SELECT * FROM [Q10 (2)]"/>
  </connection>
  <connection id="3" xr16:uid="{49C4170B-B73E-C14F-91C9-7616E5E03F76}" keepAlive="1" name="Query - Q10 (3)" description="Connection to the 'Q10 (3)' query in the workbook." type="5" refreshedVersion="8" background="1" saveData="1">
    <dbPr connection="Provider=Microsoft.Mashup.OleDb.1;Data Source=$Workbook$;Location=&quot;Q10 (3)&quot;;Extended Properties=&quot;&quot;" command="SELECT * FROM [Q10 (3)]"/>
  </connection>
  <connection id="4" xr16:uid="{574A4044-EB45-2E4B-A5C2-FA07376EDC4D}" keepAlive="1" name="Query - Q6" description="Connection to the 'Q6' query in the workbook." type="5" refreshedVersion="0" background="1">
    <dbPr connection="Provider=Microsoft.Mashup.OleDb.1;Data Source=$Workbook$;Location=Q6;Extended Properties=&quot;&quot;" command="SELECT * FROM [Q6]"/>
  </connection>
  <connection id="5" xr16:uid="{A963F526-CE38-444F-90F4-FA694A53320E}" keepAlive="1" name="Query - Q6 (2)" description="Connection to the 'Q6 (2)' query in the workbook." type="5" refreshedVersion="0" background="1">
    <dbPr connection="Provider=Microsoft.Mashup.OleDb.1;Data Source=$Workbook$;Location=&quot;Q6 (2)&quot;;Extended Properties=&quot;&quot;" command="SELECT * FROM [Q6 (2)]"/>
  </connection>
  <connection id="6" xr16:uid="{2B0AA09B-1E80-3C4E-98E0-1413781FD133}" keepAlive="1" name="Query - Q6 (3)" description="Connection to the 'Q6 (3)' query in the workbook." type="5" refreshedVersion="0" background="1">
    <dbPr connection="Provider=Microsoft.Mashup.OleDb.1;Data Source=$Workbook$;Location=&quot;Q6 (3)&quot;;Extended Properties=&quot;&quot;" command="SELECT * FROM [Q6 (3)]"/>
  </connection>
  <connection id="7" xr16:uid="{05D8F79A-CEAA-7C41-9BD5-DD76A0FE48EC}" keepAlive="1" name="Query - Q6 (4)" description="Connection to the 'Q6 (4)' query in the workbook." type="5" refreshedVersion="8" background="1" saveData="1">
    <dbPr connection="Provider=Microsoft.Mashup.OleDb.1;Data Source=$Workbook$;Location=&quot;Q6 (4)&quot;;Extended Properties=&quot;&quot;" command="SELECT * FROM [Q6 (4)]"/>
  </connection>
  <connection id="8" xr16:uid="{C0CB592E-25FC-0D4D-9070-38FC781D0DF2}" keepAlive="1" name="Query - q6bottom5" description="Connection to the 'q6bottom5' query in the workbook." type="5" refreshedVersion="0" background="1">
    <dbPr connection="Provider=Microsoft.Mashup.OleDb.1;Data Source=$Workbook$;Location=q6bottom5;Extended Properties=&quot;&quot;" command="SELECT * FROM [q6bottom5]"/>
  </connection>
  <connection id="9" xr16:uid="{BFE3E240-159C-8648-B6FE-E6F2E4BE6A92}" keepAlive="1" name="Query - q6bottom5 (2)" description="Connection to the 'q6bottom5 (2)' query in the workbook." type="5" refreshedVersion="8" background="1" saveData="1">
    <dbPr connection="Provider=Microsoft.Mashup.OleDb.1;Data Source=$Workbook$;Location=&quot;q6bottom5 (2)&quot;;Extended Properties=&quot;&quot;" command="SELECT * FROM [q6bottom5 (2)]"/>
  </connection>
  <connection id="10" xr16:uid="{5A691FEF-4188-F44A-862C-BE90F1EAF7D8}" keepAlive="1" name="Query - q6top5" description="Connection to the 'q6top5' query in the workbook." type="5" refreshedVersion="0" background="1">
    <dbPr connection="Provider=Microsoft.Mashup.OleDb.1;Data Source=$Workbook$;Location=q6top5;Extended Properties=&quot;&quot;" command="SELECT * FROM [q6top5]"/>
  </connection>
  <connection id="11" xr16:uid="{D4400DDB-E9CA-3146-9C73-5B4D90575B6C}" keepAlive="1" name="Query - Q7" description="Connection to the 'Q7' query in the workbook." type="5" refreshedVersion="8" background="1" saveData="1">
    <dbPr connection="Provider=Microsoft.Mashup.OleDb.1;Data Source=$Workbook$;Location=Q7;Extended Properties=&quot;&quot;" command="SELECT * FROM [Q7]"/>
  </connection>
</connections>
</file>

<file path=xl/sharedStrings.xml><?xml version="1.0" encoding="utf-8"?>
<sst xmlns="http://schemas.openxmlformats.org/spreadsheetml/2006/main" count="79" uniqueCount="38">
  <si>
    <t>county</t>
  </si>
  <si>
    <t>total_revenue</t>
  </si>
  <si>
    <t>transactions</t>
  </si>
  <si>
    <t>Polk</t>
  </si>
  <si>
    <t>Linn</t>
  </si>
  <si>
    <t>Scott</t>
  </si>
  <si>
    <t>Johnson</t>
  </si>
  <si>
    <t>Black Hawk</t>
  </si>
  <si>
    <t>Pottawattamie</t>
  </si>
  <si>
    <t>Woodbury</t>
  </si>
  <si>
    <t>Dubuque</t>
  </si>
  <si>
    <t>Story</t>
  </si>
  <si>
    <t>Cerro Gordo</t>
  </si>
  <si>
    <t>Row Labels</t>
  </si>
  <si>
    <t>Grand Total</t>
  </si>
  <si>
    <t>Sum of total_revenue</t>
  </si>
  <si>
    <t>store</t>
  </si>
  <si>
    <t>vendor</t>
  </si>
  <si>
    <t>Diageo Americas</t>
  </si>
  <si>
    <t>Jim Beam Brands</t>
  </si>
  <si>
    <t>Pernod Ricard USA/Austin Nichols</t>
  </si>
  <si>
    <t>Constellation Wine Company Inc.</t>
  </si>
  <si>
    <t>Luxco-St Louis</t>
  </si>
  <si>
    <t>Bacardi U.S.A. Inc.</t>
  </si>
  <si>
    <t>Sazerac North America</t>
  </si>
  <si>
    <t>Phillips Beverage Company</t>
  </si>
  <si>
    <t>description</t>
  </si>
  <si>
    <t>avg_bottle_price</t>
  </si>
  <si>
    <t>Jim Beam</t>
  </si>
  <si>
    <t>Old Crow</t>
  </si>
  <si>
    <t>Red Stag By Jim Beam</t>
  </si>
  <si>
    <t>Jim Beam Honey</t>
  </si>
  <si>
    <t>Jim Beam Maple</t>
  </si>
  <si>
    <t>Jim Beam Traveler</t>
  </si>
  <si>
    <t>Jim Beam Mini</t>
  </si>
  <si>
    <t>Maker's Mark</t>
  </si>
  <si>
    <t>Red Stag Hardcore Cider</t>
  </si>
  <si>
    <t>Red Stag Spiced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</si>
</sst>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F3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  <fill>
        <patternFill patternType="solid">
          <fgColor indexed="64"/>
          <bgColor rgb="FF7F3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rgb="FF7F3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7F3F00"/>
        </patternFill>
      </fill>
    </dxf>
    <dxf>
      <fill>
        <patternFill patternType="solid">
          <fgColor indexed="64"/>
          <bgColor rgb="FF7F3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998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[Jim_Beam_Charts.xlsx]Q13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Iowa Counties by Jim Beam Revenue</a:t>
            </a:r>
          </a:p>
        </c:rich>
      </c:tx>
      <c:layout>
        <c:manualLayout>
          <c:xMode val="edge"/>
          <c:yMode val="edge"/>
          <c:x val="0.33375282831025438"/>
          <c:y val="6.7761806981519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95000"/>
              <a:lumOff val="5000"/>
              <a:alpha val="51406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  <a:alpha val="51406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9878631550366549E-2"/>
          <c:y val="0.14278242170447381"/>
          <c:w val="0.89487998913928868"/>
          <c:h val="0.80974680269689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'Q13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95000"/>
                <a:lumOff val="5000"/>
                <a:alpha val="51406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tx1">
                  <a:lumMod val="95000"/>
                  <a:lumOff val="5000"/>
                  <a:alpha val="51406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59-4F48-BD14-1B4EEBB78B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'Q13 Chart'!$A$2:$A$12</c:f>
              <c:strCache>
                <c:ptCount val="10"/>
                <c:pt idx="0">
                  <c:v>Polk</c:v>
                </c:pt>
                <c:pt idx="1">
                  <c:v>Linn</c:v>
                </c:pt>
                <c:pt idx="2">
                  <c:v>Scott</c:v>
                </c:pt>
                <c:pt idx="3">
                  <c:v>Johnson</c:v>
                </c:pt>
                <c:pt idx="4">
                  <c:v>Black Hawk</c:v>
                </c:pt>
                <c:pt idx="5">
                  <c:v>Pottawattamie</c:v>
                </c:pt>
                <c:pt idx="6">
                  <c:v>Woodbury</c:v>
                </c:pt>
                <c:pt idx="7">
                  <c:v>Dubuque</c:v>
                </c:pt>
                <c:pt idx="8">
                  <c:v>Story</c:v>
                </c:pt>
                <c:pt idx="9">
                  <c:v>Cerro Gordo</c:v>
                </c:pt>
              </c:strCache>
            </c:strRef>
          </c:cat>
          <c:val>
            <c:numRef>
              <c:f>'Q13 Chart'!$B$2:$B$12</c:f>
              <c:numCache>
                <c:formatCode>General</c:formatCode>
                <c:ptCount val="10"/>
                <c:pt idx="0">
                  <c:v>6578516.1100000003</c:v>
                </c:pt>
                <c:pt idx="1">
                  <c:v>2762708.06</c:v>
                </c:pt>
                <c:pt idx="2">
                  <c:v>2391088.59</c:v>
                </c:pt>
                <c:pt idx="3">
                  <c:v>1975519.75</c:v>
                </c:pt>
                <c:pt idx="4">
                  <c:v>1581100.85</c:v>
                </c:pt>
                <c:pt idx="5">
                  <c:v>1441473.29</c:v>
                </c:pt>
                <c:pt idx="6">
                  <c:v>1162787.71</c:v>
                </c:pt>
                <c:pt idx="7">
                  <c:v>1058902.6100000001</c:v>
                </c:pt>
                <c:pt idx="8">
                  <c:v>867772.07</c:v>
                </c:pt>
                <c:pt idx="9">
                  <c:v>717963.87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9-4F48-BD14-1B4EEBB78B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30843839"/>
        <c:axId val="930845551"/>
      </c:barChart>
      <c:catAx>
        <c:axId val="93084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45551"/>
        <c:crosses val="autoZero"/>
        <c:auto val="1"/>
        <c:lblAlgn val="ctr"/>
        <c:lblOffset val="100"/>
        <c:noMultiLvlLbl val="0"/>
      </c:catAx>
      <c:valAx>
        <c:axId val="9308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84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980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[Jim_Beam_Charts.xlsx]Q6 Chart!PivotTable6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solidFill>
                  <a:schemeClr val="tx1"/>
                </a:solidFill>
              </a:rPr>
              <a:t>Total Revenue by Store Location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alpha val="51649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alpha val="51649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3325349540432922E-2"/>
          <c:y val="0.11135338851874284"/>
          <c:w val="0.82513143319062299"/>
          <c:h val="0.828480606590842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'Q6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alpha val="51649"/>
              </a:schemeClr>
            </a:solidFill>
            <a:ln>
              <a:noFill/>
            </a:ln>
            <a:effectLst/>
          </c:spPr>
          <c:invertIfNegative val="0"/>
          <c:cat>
            <c:strRef>
              <c:f>'Q6 Chart'!$A$2:$A$12</c:f>
              <c:strCache>
                <c:ptCount val="10"/>
                <c:pt idx="0">
                  <c:v>4951</c:v>
                </c:pt>
                <c:pt idx="1">
                  <c:v>4933</c:v>
                </c:pt>
                <c:pt idx="2">
                  <c:v>5074</c:v>
                </c:pt>
                <c:pt idx="3">
                  <c:v>4811</c:v>
                </c:pt>
                <c:pt idx="4">
                  <c:v>5023</c:v>
                </c:pt>
                <c:pt idx="5">
                  <c:v>5083</c:v>
                </c:pt>
                <c:pt idx="6">
                  <c:v>4460</c:v>
                </c:pt>
                <c:pt idx="7">
                  <c:v>4875</c:v>
                </c:pt>
                <c:pt idx="8">
                  <c:v>4095</c:v>
                </c:pt>
                <c:pt idx="9">
                  <c:v>4994</c:v>
                </c:pt>
              </c:strCache>
            </c:strRef>
          </c:cat>
          <c:val>
            <c:numRef>
              <c:f>'Q6 Chart'!$B$2:$B$12</c:f>
              <c:numCache>
                <c:formatCode>General</c:formatCode>
                <c:ptCount val="10"/>
                <c:pt idx="0">
                  <c:v>152.88</c:v>
                </c:pt>
                <c:pt idx="1">
                  <c:v>137.16</c:v>
                </c:pt>
                <c:pt idx="2">
                  <c:v>118.08</c:v>
                </c:pt>
                <c:pt idx="3">
                  <c:v>114.94</c:v>
                </c:pt>
                <c:pt idx="4">
                  <c:v>110.64</c:v>
                </c:pt>
                <c:pt idx="5">
                  <c:v>104.4</c:v>
                </c:pt>
                <c:pt idx="6">
                  <c:v>94.5</c:v>
                </c:pt>
                <c:pt idx="7">
                  <c:v>47.48</c:v>
                </c:pt>
                <c:pt idx="8">
                  <c:v>37.799999999999997</c:v>
                </c:pt>
                <c:pt idx="9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B-0F46-89E1-9658A13AB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4004864"/>
        <c:axId val="293711920"/>
      </c:barChart>
      <c:catAx>
        <c:axId val="29400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11920"/>
        <c:crosses val="autoZero"/>
        <c:auto val="1"/>
        <c:lblAlgn val="ctr"/>
        <c:lblOffset val="100"/>
        <c:noMultiLvlLbl val="0"/>
      </c:catAx>
      <c:valAx>
        <c:axId val="2937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0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980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[Jim_Beam_Charts.xlsx]Q10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tx1"/>
                </a:solidFill>
              </a:rPr>
              <a:t>Revenue &amp; Transactions by Product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150684931506847"/>
          <c:y val="2.6442307692307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alpha val="5031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alpha val="60000"/>
            </a:schemeClr>
          </a:solidFill>
          <a:ln>
            <a:noFill/>
          </a:ln>
          <a:effectLst/>
        </c:spP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274323273968436E-2"/>
          <c:y val="1.6594569869637667E-2"/>
          <c:w val="0.93648533659319977"/>
          <c:h val="0.86908615990308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'Q10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alpha val="5031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alpha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61-8E49-8396-8BDB1FB644CB}"/>
              </c:ext>
            </c:extLst>
          </c:dPt>
          <c:cat>
            <c:strRef>
              <c:f>'Q10 Chart'!$A$2:$A$12</c:f>
              <c:strCache>
                <c:ptCount val="10"/>
                <c:pt idx="0">
                  <c:v>Jim Beam</c:v>
                </c:pt>
                <c:pt idx="1">
                  <c:v>Old Crow</c:v>
                </c:pt>
                <c:pt idx="2">
                  <c:v>Red Stag By Jim Beam</c:v>
                </c:pt>
                <c:pt idx="3">
                  <c:v>Jim Beam Honey</c:v>
                </c:pt>
                <c:pt idx="4">
                  <c:v>Jim Beam Maple</c:v>
                </c:pt>
                <c:pt idx="5">
                  <c:v>Jim Beam Traveler</c:v>
                </c:pt>
                <c:pt idx="6">
                  <c:v>Jim Beam Mini</c:v>
                </c:pt>
                <c:pt idx="7">
                  <c:v>Maker's Mark</c:v>
                </c:pt>
                <c:pt idx="8">
                  <c:v>Red Stag Hardcore Cider</c:v>
                </c:pt>
                <c:pt idx="9">
                  <c:v>Red Stag Spiced</c:v>
                </c:pt>
              </c:strCache>
            </c:strRef>
          </c:cat>
          <c:val>
            <c:numRef>
              <c:f>'Q10 Chart'!$B$2:$B$12</c:f>
              <c:numCache>
                <c:formatCode>General</c:formatCode>
                <c:ptCount val="10"/>
                <c:pt idx="0">
                  <c:v>2893729.97</c:v>
                </c:pt>
                <c:pt idx="1">
                  <c:v>603142.19999999995</c:v>
                </c:pt>
                <c:pt idx="2">
                  <c:v>417029.7</c:v>
                </c:pt>
                <c:pt idx="3">
                  <c:v>324562.05</c:v>
                </c:pt>
                <c:pt idx="4">
                  <c:v>218989.6</c:v>
                </c:pt>
                <c:pt idx="5">
                  <c:v>193587.23</c:v>
                </c:pt>
                <c:pt idx="6">
                  <c:v>112953.71</c:v>
                </c:pt>
                <c:pt idx="7">
                  <c:v>62628.480000000003</c:v>
                </c:pt>
                <c:pt idx="8">
                  <c:v>46974.2</c:v>
                </c:pt>
                <c:pt idx="9">
                  <c:v>25746.45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1-8E49-8396-8BDB1FB64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4414064"/>
        <c:axId val="294415776"/>
      </c:barChart>
      <c:catAx>
        <c:axId val="2944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15776"/>
        <c:crosses val="autoZero"/>
        <c:auto val="1"/>
        <c:lblAlgn val="ctr"/>
        <c:lblOffset val="100"/>
        <c:noMultiLvlLbl val="0"/>
      </c:catAx>
      <c:valAx>
        <c:axId val="2944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14064"/>
        <c:crosses val="autoZero"/>
        <c:crossBetween val="between"/>
      </c:valAx>
      <c:spPr>
        <a:solidFill>
          <a:srgbClr val="F99809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[Jim_Beam_Charts.xlsx]Q7 Chart!PivotTable4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baseline="0">
                <a:solidFill>
                  <a:schemeClr val="tx1"/>
                </a:solidFill>
              </a:rPr>
              <a:t>Total Revenue by Vendor</a:t>
            </a:r>
            <a:endParaRPr lang="en-US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alpha val="63352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alpha val="63352"/>
              </a:schemeClr>
            </a:solidFill>
            <a:ln>
              <a:noFill/>
            </a:ln>
            <a:effectLst/>
          </c:spPr>
          <c:invertIfNegative val="0"/>
          <c:cat>
            <c:strRef>
              <c:f>'Q7 Chart'!$A$2:$A$10</c:f>
              <c:strCache>
                <c:ptCount val="8"/>
                <c:pt idx="0">
                  <c:v>Diageo Americas</c:v>
                </c:pt>
                <c:pt idx="1">
                  <c:v>Jim Beam Brands</c:v>
                </c:pt>
                <c:pt idx="2">
                  <c:v>Pernod Ricard USA/Austin Nichols</c:v>
                </c:pt>
                <c:pt idx="3">
                  <c:v>Constellation Wine Company Inc.</c:v>
                </c:pt>
                <c:pt idx="4">
                  <c:v>Luxco-St Louis</c:v>
                </c:pt>
                <c:pt idx="5">
                  <c:v>Bacardi U.S.A. Inc.</c:v>
                </c:pt>
                <c:pt idx="6">
                  <c:v>Sazerac North America</c:v>
                </c:pt>
                <c:pt idx="7">
                  <c:v>Phillips Beverage Company</c:v>
                </c:pt>
              </c:strCache>
            </c:strRef>
          </c:cat>
          <c:val>
            <c:numRef>
              <c:f>'Q7 Chart'!$B$2:$B$10</c:f>
              <c:numCache>
                <c:formatCode>General</c:formatCode>
                <c:ptCount val="8"/>
                <c:pt idx="0">
                  <c:v>80450753.200000003</c:v>
                </c:pt>
                <c:pt idx="1">
                  <c:v>31493233.629999999</c:v>
                </c:pt>
                <c:pt idx="2">
                  <c:v>27934807</c:v>
                </c:pt>
                <c:pt idx="3">
                  <c:v>22957317.07</c:v>
                </c:pt>
                <c:pt idx="4">
                  <c:v>22448730.460000001</c:v>
                </c:pt>
                <c:pt idx="5">
                  <c:v>18832855.469999999</c:v>
                </c:pt>
                <c:pt idx="6">
                  <c:v>14392739.859999999</c:v>
                </c:pt>
                <c:pt idx="7">
                  <c:v>12346146.16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2-5B42-91F3-77978D538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352336"/>
        <c:axId val="53868704"/>
      </c:barChart>
      <c:catAx>
        <c:axId val="6035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8704"/>
        <c:crosses val="autoZero"/>
        <c:auto val="1"/>
        <c:lblAlgn val="ctr"/>
        <c:lblOffset val="100"/>
        <c:noMultiLvlLbl val="0"/>
      </c:catAx>
      <c:valAx>
        <c:axId val="538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980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5</xdr:row>
      <xdr:rowOff>177800</xdr:rowOff>
    </xdr:from>
    <xdr:to>
      <xdr:col>17</xdr:col>
      <xdr:colOff>241300</xdr:colOff>
      <xdr:row>36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36BBF-9B3E-36BB-2EA8-606EEE840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8</xdr:row>
      <xdr:rowOff>76200</xdr:rowOff>
    </xdr:from>
    <xdr:to>
      <xdr:col>15</xdr:col>
      <xdr:colOff>127000</xdr:colOff>
      <xdr:row>35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9CEE74-B445-C451-A05E-9685A3108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4</xdr:row>
      <xdr:rowOff>38100</xdr:rowOff>
    </xdr:from>
    <xdr:to>
      <xdr:col>16</xdr:col>
      <xdr:colOff>139700</xdr:colOff>
      <xdr:row>34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EE709-A01F-7A15-410F-FF366D030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7</xdr:row>
      <xdr:rowOff>165100</xdr:rowOff>
    </xdr:from>
    <xdr:to>
      <xdr:col>15</xdr:col>
      <xdr:colOff>698500</xdr:colOff>
      <xdr:row>36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8E5137-F62D-6264-0178-033F13F0A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40.608013888886" createdVersion="8" refreshedVersion="8" minRefreshableVersion="3" recordCount="10" xr:uid="{8D82F297-2BEB-6346-AE59-12180E84FB46}">
  <cacheSource type="worksheet">
    <worksheetSource ref="A1:C11" sheet="Q13"/>
  </cacheSource>
  <cacheFields count="3">
    <cacheField name="county" numFmtId="0">
      <sharedItems count="10">
        <s v="Polk"/>
        <s v="Linn"/>
        <s v="Scott"/>
        <s v="Johnson"/>
        <s v="Black Hawk"/>
        <s v="Pottawattamie"/>
        <s v="Woodbury"/>
        <s v="Dubuque"/>
        <s v="Story"/>
        <s v="Cerro Gordo"/>
      </sharedItems>
    </cacheField>
    <cacheField name="total_revenue" numFmtId="0">
      <sharedItems containsSemiMixedTypes="0" containsString="0" containsNumber="1" minValue="717963.87" maxValue="6578516.1100000003" count="10">
        <n v="6578516.1100000003"/>
        <n v="2762708.06"/>
        <n v="2391088.59"/>
        <n v="1975519.75"/>
        <n v="1581100.85"/>
        <n v="1441473.29"/>
        <n v="1162787.71"/>
        <n v="1058902.6100000001"/>
        <n v="867772.07"/>
        <n v="717963.87"/>
      </sharedItems>
    </cacheField>
    <cacheField name="transactions" numFmtId="0">
      <sharedItems containsSemiMixedTypes="0" containsString="0" containsNumber="1" containsInteger="1" minValue="7182" maxValue="51447" count="10">
        <n v="51447"/>
        <n v="21747"/>
        <n v="17932"/>
        <n v="13972"/>
        <n v="14006"/>
        <n v="11308"/>
        <n v="8876"/>
        <n v="9252"/>
        <n v="9426"/>
        <n v="718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40.763978009258" createdVersion="8" refreshedVersion="8" minRefreshableVersion="3" recordCount="8" xr:uid="{20F31D47-7A8D-1646-89E4-5CC9A0C4E5D2}">
  <cacheSource type="worksheet">
    <worksheetSource name="Q7_"/>
  </cacheSource>
  <cacheFields count="2">
    <cacheField name="vendor" numFmtId="0">
      <sharedItems count="8">
        <s v="Diageo Americas"/>
        <s v="Jim Beam Brands"/>
        <s v="Pernod Ricard USA/Austin Nichols"/>
        <s v="Constellation Wine Company Inc."/>
        <s v="Luxco-St Louis"/>
        <s v="Bacardi U.S.A. Inc."/>
        <s v="Sazerac North America"/>
        <s v="Phillips Beverage Company"/>
      </sharedItems>
    </cacheField>
    <cacheField name="total_revenue" numFmtId="0">
      <sharedItems containsSemiMixedTypes="0" containsString="0" containsNumber="1" minValue="12346146.16" maxValue="80450753.2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40.877448148145" createdVersion="8" refreshedVersion="8" minRefreshableVersion="3" recordCount="10" xr:uid="{BED98C01-8920-A84B-B37B-B58E446E3CE1}">
  <cacheSource type="worksheet">
    <worksheetSource name="Q6__4"/>
  </cacheSource>
  <cacheFields count="2">
    <cacheField name="store" numFmtId="0">
      <sharedItems containsSemiMixedTypes="0" containsString="0" containsNumber="1" containsInteger="1" minValue="4095" maxValue="5083" count="10">
        <n v="4994"/>
        <n v="4095"/>
        <n v="4875"/>
        <n v="4460"/>
        <n v="5083"/>
        <n v="5023"/>
        <n v="4811"/>
        <n v="5074"/>
        <n v="4933"/>
        <n v="4951"/>
      </sharedItems>
    </cacheField>
    <cacheField name="total_revenue" numFmtId="0">
      <sharedItems containsSemiMixedTypes="0" containsString="0" containsNumber="1" minValue="17.100000000000001" maxValue="152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40.879005324074" createdVersion="8" refreshedVersion="8" minRefreshableVersion="3" recordCount="10" xr:uid="{BBAB9765-8E39-8F4B-97BF-6A54C111F325}">
  <cacheSource type="worksheet">
    <worksheetSource name="Q10__3"/>
  </cacheSource>
  <cacheFields count="4">
    <cacheField name="description" numFmtId="0">
      <sharedItems count="10">
        <s v="Jim Beam"/>
        <s v="Old Crow"/>
        <s v="Red Stag By Jim Beam"/>
        <s v="Jim Beam Honey"/>
        <s v="Jim Beam Maple"/>
        <s v="Jim Beam Traveler"/>
        <s v="Jim Beam Mini"/>
        <s v="Maker's Mark"/>
        <s v="Red Stag Hardcore Cider"/>
        <s v="Red Stag Spiced"/>
      </sharedItems>
    </cacheField>
    <cacheField name="transactions" numFmtId="0">
      <sharedItems containsSemiMixedTypes="0" containsString="0" containsNumber="1" containsInteger="1" minValue="408" maxValue="15443"/>
    </cacheField>
    <cacheField name="avg_bottle_price" numFmtId="0">
      <sharedItems containsSemiMixedTypes="0" containsString="0" containsNumber="1" minValue="10.24" maxValue="16.82"/>
    </cacheField>
    <cacheField name="total_revenue" numFmtId="0">
      <sharedItems containsSemiMixedTypes="0" containsString="0" containsNumber="1" minValue="25746.45" maxValue="2893729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80450753.200000003"/>
  </r>
  <r>
    <x v="1"/>
    <n v="31493233.629999999"/>
  </r>
  <r>
    <x v="2"/>
    <n v="27934807"/>
  </r>
  <r>
    <x v="3"/>
    <n v="22957317.07"/>
  </r>
  <r>
    <x v="4"/>
    <n v="22448730.460000001"/>
  </r>
  <r>
    <x v="5"/>
    <n v="18832855.469999999"/>
  </r>
  <r>
    <x v="6"/>
    <n v="14392739.859999999"/>
  </r>
  <r>
    <x v="7"/>
    <n v="12346146.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7.100000000000001"/>
  </r>
  <r>
    <x v="1"/>
    <n v="37.799999999999997"/>
  </r>
  <r>
    <x v="2"/>
    <n v="47.48"/>
  </r>
  <r>
    <x v="3"/>
    <n v="94.5"/>
  </r>
  <r>
    <x v="4"/>
    <n v="104.4"/>
  </r>
  <r>
    <x v="5"/>
    <n v="110.64"/>
  </r>
  <r>
    <x v="6"/>
    <n v="114.94"/>
  </r>
  <r>
    <x v="7"/>
    <n v="118.08"/>
  </r>
  <r>
    <x v="8"/>
    <n v="137.16"/>
  </r>
  <r>
    <x v="9"/>
    <n v="152.8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5443"/>
    <n v="16.82"/>
    <n v="2893729.97"/>
  </r>
  <r>
    <x v="1"/>
    <n v="7297"/>
    <n v="13.92"/>
    <n v="603142.19999999995"/>
  </r>
  <r>
    <x v="2"/>
    <n v="3933"/>
    <n v="16.5"/>
    <n v="417029.7"/>
  </r>
  <r>
    <x v="3"/>
    <n v="2376"/>
    <n v="16.55"/>
    <n v="324562.05"/>
  </r>
  <r>
    <x v="4"/>
    <n v="1531"/>
    <n v="16.55"/>
    <n v="218989.6"/>
  </r>
  <r>
    <x v="5"/>
    <n v="1365"/>
    <n v="15.62"/>
    <n v="193587.23"/>
  </r>
  <r>
    <x v="6"/>
    <n v="5028"/>
    <n v="10.24"/>
    <n v="112953.71"/>
  </r>
  <r>
    <x v="7"/>
    <n v="1475"/>
    <n v="11.79"/>
    <n v="62628.480000000003"/>
  </r>
  <r>
    <x v="8"/>
    <n v="565"/>
    <n v="16.5"/>
    <n v="46974.2"/>
  </r>
  <r>
    <x v="9"/>
    <n v="408"/>
    <n v="16.5"/>
    <n v="25746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97625-5FE8-1D4B-B36E-F77B34987904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2" firstHeaderRow="1" firstDataRow="1" firstDataCol="1"/>
  <pivotFields count="3">
    <pivotField axis="axisRow" showAll="0" sortType="descending">
      <items count="11">
        <item x="4"/>
        <item x="9"/>
        <item x="7"/>
        <item x="3"/>
        <item x="1"/>
        <item x="0"/>
        <item x="5"/>
        <item x="2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1">
        <item x="9"/>
        <item x="6"/>
        <item x="7"/>
        <item x="8"/>
        <item x="5"/>
        <item x="3"/>
        <item x="4"/>
        <item x="2"/>
        <item x="1"/>
        <item x="0"/>
        <item t="default"/>
      </items>
    </pivotField>
  </pivotFields>
  <rowFields count="1">
    <field x="0"/>
  </rowFields>
  <rowItems count="11">
    <i>
      <x v="5"/>
    </i>
    <i>
      <x v="4"/>
    </i>
    <i>
      <x v="7"/>
    </i>
    <i>
      <x v="3"/>
    </i>
    <i>
      <x/>
    </i>
    <i>
      <x v="6"/>
    </i>
    <i>
      <x v="9"/>
    </i>
    <i>
      <x v="2"/>
    </i>
    <i>
      <x v="8"/>
    </i>
    <i>
      <x v="1"/>
    </i>
    <i t="grand">
      <x/>
    </i>
  </rowItems>
  <colItems count="1">
    <i/>
  </colItems>
  <dataFields count="1">
    <dataField name="Sum of total_revenu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31DAF-3476-8F4F-A86D-18B1EB56D555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12" firstHeaderRow="1" firstDataRow="1" firstDataCol="1"/>
  <pivotFields count="2">
    <pivotField axis="axisRow" showAll="0" sortType="descending">
      <items count="11">
        <item x="1"/>
        <item x="3"/>
        <item x="6"/>
        <item x="2"/>
        <item x="8"/>
        <item x="9"/>
        <item x="0"/>
        <item x="5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5"/>
    </i>
    <i>
      <x v="4"/>
    </i>
    <i>
      <x v="8"/>
    </i>
    <i>
      <x v="2"/>
    </i>
    <i>
      <x v="7"/>
    </i>
    <i>
      <x v="9"/>
    </i>
    <i>
      <x v="1"/>
    </i>
    <i>
      <x v="3"/>
    </i>
    <i>
      <x/>
    </i>
    <i>
      <x v="6"/>
    </i>
    <i t="grand">
      <x/>
    </i>
  </rowItems>
  <colItems count="1">
    <i/>
  </colItems>
  <dataFields count="1">
    <dataField name="Sum of total_revenue" fld="1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9961E-D580-8A43-8071-D79D4096F115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4">
    <pivotField axis="axisRow" showAll="0" sortType="descending">
      <items count="11">
        <item x="0"/>
        <item x="3"/>
        <item x="4"/>
        <item x="6"/>
        <item x="5"/>
        <item x="7"/>
        <item x="1"/>
        <item x="2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">
    <i>
      <x/>
    </i>
    <i>
      <x v="6"/>
    </i>
    <i>
      <x v="7"/>
    </i>
    <i>
      <x v="1"/>
    </i>
    <i>
      <x v="2"/>
    </i>
    <i>
      <x v="4"/>
    </i>
    <i>
      <x v="3"/>
    </i>
    <i>
      <x v="5"/>
    </i>
    <i>
      <x v="8"/>
    </i>
    <i>
      <x v="9"/>
    </i>
    <i t="grand">
      <x/>
    </i>
  </rowItems>
  <colItems count="1">
    <i/>
  </colItems>
  <dataFields count="1">
    <dataField name="Sum of total_revenu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B557C-7C3D-B742-A38E-4E2AB66D6777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10" firstHeaderRow="1" firstDataRow="1" firstDataCol="1"/>
  <pivotFields count="2">
    <pivotField axis="axisRow" showAll="0" sortType="descending">
      <items count="9">
        <item x="5"/>
        <item x="3"/>
        <item x="0"/>
        <item x="1"/>
        <item x="4"/>
        <item x="2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2"/>
    </i>
    <i>
      <x v="3"/>
    </i>
    <i>
      <x v="5"/>
    </i>
    <i>
      <x v="1"/>
    </i>
    <i>
      <x v="4"/>
    </i>
    <i>
      <x/>
    </i>
    <i>
      <x v="7"/>
    </i>
    <i>
      <x v="6"/>
    </i>
    <i t="grand">
      <x/>
    </i>
  </rowItems>
  <colItems count="1">
    <i/>
  </colItems>
  <dataFields count="1">
    <dataField name="Sum of total_revenue" fld="1" baseField="0" baseItem="0"/>
  </dataFields>
  <chartFormats count="1"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B62A94F-30D7-5143-84B1-A432DB0A92F0}" autoFormatId="16" applyNumberFormats="0" applyBorderFormats="0" applyFontFormats="0" applyPatternFormats="0" applyAlignmentFormats="0" applyWidthHeightFormats="0">
  <queryTableRefresh nextId="3">
    <queryTableFields count="2">
      <queryTableField id="1" name="store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3FBDFB-34A4-CD40-8513-38A89023D544}" autoFormatId="16" applyNumberFormats="0" applyBorderFormats="0" applyFontFormats="0" applyPatternFormats="0" applyAlignmentFormats="0" applyWidthHeightFormats="0">
  <queryTableRefresh nextId="5">
    <queryTableFields count="4">
      <queryTableField id="1" name="description" tableColumnId="1"/>
      <queryTableField id="2" name="transactions" tableColumnId="2"/>
      <queryTableField id="3" name="avg_bottle_price" tableColumnId="3"/>
      <queryTableField id="4" name="total_reven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8987BDB-9BC9-684E-A5E4-F354AEA6AC41}" autoFormatId="16" applyNumberFormats="0" applyBorderFormats="0" applyFontFormats="0" applyPatternFormats="0" applyAlignmentFormats="0" applyWidthHeightFormats="0">
  <queryTableRefresh nextId="3">
    <queryTableFields count="2">
      <queryTableField id="1" name="vendor" tableColumnId="1"/>
      <queryTableField id="2" name="total_revenu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91981-BBA6-774D-9A29-6C1E05B542CB}" name="Table2" displayName="Table2" ref="A1:C11" totalsRowShown="0" headerRowDxfId="3">
  <autoFilter ref="A1:C11" xr:uid="{F0791981-BBA6-774D-9A29-6C1E05B542CB}"/>
  <tableColumns count="3">
    <tableColumn id="1" xr3:uid="{6358504F-D8D4-E34C-A713-E53A42E40656}" name="county"/>
    <tableColumn id="2" xr3:uid="{20273C57-2312-6249-8CD4-FAAC18586915}" name="total_revenue"/>
    <tableColumn id="3" xr3:uid="{A406CF51-D884-9A47-82F8-664BACB790B9}" name="transactions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AD69FD-6C41-E947-AF56-18B4CE849AB1}" name="Q6__4" displayName="Q6__4" ref="A1:B11" tableType="queryTable" totalsRowShown="0" headerRowDxfId="0">
  <autoFilter ref="A1:B11" xr:uid="{9CAD69FD-6C41-E947-AF56-18B4CE849AB1}"/>
  <tableColumns count="2">
    <tableColumn id="1" xr3:uid="{9DFCDBD6-8E82-A248-90AC-C2C124423927}" uniqueName="1" name="store" queryTableFieldId="1"/>
    <tableColumn id="2" xr3:uid="{765DEADD-6B11-E349-BE59-AE558D8E2E4F}" uniqueName="2" name="total_revenue" queryTableFieldId="2"/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002C589-0A72-F144-9B2A-F32DA4198D88}" name="Q10__3" displayName="Q10__3" ref="A1:D11" tableType="queryTable" totalsRowShown="0" headerRowDxfId="1">
  <autoFilter ref="A1:D11" xr:uid="{7002C589-0A72-F144-9B2A-F32DA4198D88}"/>
  <tableColumns count="4">
    <tableColumn id="1" xr3:uid="{D89689B0-B250-CD4E-AEC9-90BDBC7E356B}" uniqueName="1" name="description" queryTableFieldId="1" dataDxfId="4"/>
    <tableColumn id="2" xr3:uid="{E23C45D4-CC08-0841-B2CD-AD9FEDADA27C}" uniqueName="2" name="transactions" queryTableFieldId="2"/>
    <tableColumn id="3" xr3:uid="{B1262381-A0DC-1845-A14E-64D4A4A11F2E}" uniqueName="3" name="avg_bottle_price" queryTableFieldId="3"/>
    <tableColumn id="4" xr3:uid="{49CADFAB-1831-4749-8DF3-FC6BCB21F589}" uniqueName="4" name="total_revenue" queryTableFieldId="4"/>
  </tableColumns>
  <tableStyleInfo name="TableStyleDark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7D4E54-39F9-714B-9799-B0BEC60ACD6D}" name="Q7_" displayName="Q7_" ref="A1:B9" tableType="queryTable" totalsRowShown="0" headerRowDxfId="2">
  <autoFilter ref="A1:B9" xr:uid="{6A7D4E54-39F9-714B-9799-B0BEC60ACD6D}"/>
  <tableColumns count="2">
    <tableColumn id="1" xr3:uid="{98D5796F-FC73-3B44-AE40-61A716A8C965}" uniqueName="1" name="vendor" queryTableFieldId="1" dataDxfId="5"/>
    <tableColumn id="2" xr3:uid="{0A4C53D0-2AED-634C-B6BA-69D193D21B94}" uniqueName="2" name="total_revenue" queryTableFieldId="2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D023-0115-7541-97A0-DCD96E0FE3EA}">
  <dimension ref="A1:C11"/>
  <sheetViews>
    <sheetView tabSelected="1" workbookViewId="0">
      <selection activeCell="B27" sqref="B27"/>
    </sheetView>
  </sheetViews>
  <sheetFormatPr baseColWidth="10" defaultRowHeight="16" x14ac:dyDescent="0.2"/>
  <cols>
    <col min="1" max="1" width="24.1640625" customWidth="1"/>
    <col min="2" max="2" width="30.1640625" customWidth="1"/>
    <col min="3" max="3" width="33" customWidth="1"/>
  </cols>
  <sheetData>
    <row r="1" spans="1:3" ht="57" customHeight="1" x14ac:dyDescent="0.2">
      <c r="A1" s="4" t="s">
        <v>0</v>
      </c>
      <c r="B1" s="4" t="s">
        <v>1</v>
      </c>
      <c r="C1" s="4" t="s">
        <v>2</v>
      </c>
    </row>
    <row r="2" spans="1:3" ht="25" customHeight="1" x14ac:dyDescent="0.2">
      <c r="A2" t="s">
        <v>3</v>
      </c>
      <c r="B2">
        <v>6578516.1100000003</v>
      </c>
      <c r="C2">
        <v>51447</v>
      </c>
    </row>
    <row r="3" spans="1:3" ht="25" customHeight="1" x14ac:dyDescent="0.2">
      <c r="A3" t="s">
        <v>4</v>
      </c>
      <c r="B3">
        <v>2762708.06</v>
      </c>
      <c r="C3">
        <v>21747</v>
      </c>
    </row>
    <row r="4" spans="1:3" ht="29" customHeight="1" x14ac:dyDescent="0.2">
      <c r="A4" t="s">
        <v>5</v>
      </c>
      <c r="B4">
        <v>2391088.59</v>
      </c>
      <c r="C4">
        <v>17932</v>
      </c>
    </row>
    <row r="5" spans="1:3" ht="29" customHeight="1" x14ac:dyDescent="0.2">
      <c r="A5" t="s">
        <v>6</v>
      </c>
      <c r="B5">
        <v>1975519.75</v>
      </c>
      <c r="C5">
        <v>13972</v>
      </c>
    </row>
    <row r="6" spans="1:3" ht="25" customHeight="1" x14ac:dyDescent="0.2">
      <c r="A6" t="s">
        <v>7</v>
      </c>
      <c r="B6">
        <v>1581100.85</v>
      </c>
      <c r="C6">
        <v>14006</v>
      </c>
    </row>
    <row r="7" spans="1:3" ht="25" customHeight="1" x14ac:dyDescent="0.2">
      <c r="A7" t="s">
        <v>8</v>
      </c>
      <c r="B7">
        <v>1441473.29</v>
      </c>
      <c r="C7">
        <v>11308</v>
      </c>
    </row>
    <row r="8" spans="1:3" ht="25" customHeight="1" x14ac:dyDescent="0.2">
      <c r="A8" t="s">
        <v>9</v>
      </c>
      <c r="B8">
        <v>1162787.71</v>
      </c>
      <c r="C8">
        <v>8876</v>
      </c>
    </row>
    <row r="9" spans="1:3" ht="25" customHeight="1" x14ac:dyDescent="0.2">
      <c r="A9" t="s">
        <v>10</v>
      </c>
      <c r="B9">
        <v>1058902.6100000001</v>
      </c>
      <c r="C9">
        <v>9252</v>
      </c>
    </row>
    <row r="10" spans="1:3" ht="25" customHeight="1" x14ac:dyDescent="0.2">
      <c r="A10" t="s">
        <v>11</v>
      </c>
      <c r="B10">
        <v>867772.07</v>
      </c>
      <c r="C10">
        <v>9426</v>
      </c>
    </row>
    <row r="11" spans="1:3" ht="25" customHeight="1" x14ac:dyDescent="0.2">
      <c r="A11" t="s">
        <v>12</v>
      </c>
      <c r="B11">
        <v>717963.87</v>
      </c>
      <c r="C11">
        <v>7182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EF2D-F900-3349-AC83-B508F4871DE7}">
  <dimension ref="A1:B12"/>
  <sheetViews>
    <sheetView workbookViewId="0">
      <selection activeCell="H5" sqref="H5"/>
    </sheetView>
  </sheetViews>
  <sheetFormatPr baseColWidth="10" defaultRowHeight="16" x14ac:dyDescent="0.2"/>
  <cols>
    <col min="1" max="1" width="13.1640625" bestFit="1" customWidth="1"/>
    <col min="2" max="2" width="18.5" bestFit="1" customWidth="1"/>
  </cols>
  <sheetData>
    <row r="1" spans="1:2" x14ac:dyDescent="0.2">
      <c r="A1" s="1" t="s">
        <v>13</v>
      </c>
      <c r="B1" t="s">
        <v>15</v>
      </c>
    </row>
    <row r="2" spans="1:2" x14ac:dyDescent="0.2">
      <c r="A2" s="2" t="s">
        <v>3</v>
      </c>
      <c r="B2" s="3">
        <v>6578516.1100000003</v>
      </c>
    </row>
    <row r="3" spans="1:2" x14ac:dyDescent="0.2">
      <c r="A3" s="2" t="s">
        <v>4</v>
      </c>
      <c r="B3" s="3">
        <v>2762708.06</v>
      </c>
    </row>
    <row r="4" spans="1:2" x14ac:dyDescent="0.2">
      <c r="A4" s="2" t="s">
        <v>5</v>
      </c>
      <c r="B4" s="3">
        <v>2391088.59</v>
      </c>
    </row>
    <row r="5" spans="1:2" x14ac:dyDescent="0.2">
      <c r="A5" s="2" t="s">
        <v>6</v>
      </c>
      <c r="B5" s="3">
        <v>1975519.75</v>
      </c>
    </row>
    <row r="6" spans="1:2" x14ac:dyDescent="0.2">
      <c r="A6" s="2" t="s">
        <v>7</v>
      </c>
      <c r="B6" s="3">
        <v>1581100.85</v>
      </c>
    </row>
    <row r="7" spans="1:2" x14ac:dyDescent="0.2">
      <c r="A7" s="2" t="s">
        <v>8</v>
      </c>
      <c r="B7" s="3">
        <v>1441473.29</v>
      </c>
    </row>
    <row r="8" spans="1:2" x14ac:dyDescent="0.2">
      <c r="A8" s="2" t="s">
        <v>9</v>
      </c>
      <c r="B8" s="3">
        <v>1162787.71</v>
      </c>
    </row>
    <row r="9" spans="1:2" x14ac:dyDescent="0.2">
      <c r="A9" s="2" t="s">
        <v>10</v>
      </c>
      <c r="B9" s="3">
        <v>1058902.6100000001</v>
      </c>
    </row>
    <row r="10" spans="1:2" x14ac:dyDescent="0.2">
      <c r="A10" s="2" t="s">
        <v>11</v>
      </c>
      <c r="B10" s="3">
        <v>867772.07</v>
      </c>
    </row>
    <row r="11" spans="1:2" x14ac:dyDescent="0.2">
      <c r="A11" s="2" t="s">
        <v>12</v>
      </c>
      <c r="B11" s="3">
        <v>717963.87</v>
      </c>
    </row>
    <row r="12" spans="1:2" x14ac:dyDescent="0.2">
      <c r="A12" s="2" t="s">
        <v>14</v>
      </c>
      <c r="B12" s="3">
        <v>20537832.91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5EC6-0530-9A47-83B1-E1D031C0E057}">
  <dimension ref="A1:B11"/>
  <sheetViews>
    <sheetView workbookViewId="0">
      <selection activeCell="A20" sqref="A20"/>
    </sheetView>
  </sheetViews>
  <sheetFormatPr baseColWidth="10" defaultRowHeight="16" x14ac:dyDescent="0.2"/>
  <cols>
    <col min="1" max="1" width="21.1640625" customWidth="1"/>
    <col min="2" max="2" width="28.83203125" customWidth="1"/>
  </cols>
  <sheetData>
    <row r="1" spans="1:2" ht="57" customHeight="1" x14ac:dyDescent="0.2">
      <c r="A1" s="6" t="s">
        <v>16</v>
      </c>
      <c r="B1" s="6" t="s">
        <v>1</v>
      </c>
    </row>
    <row r="2" spans="1:2" ht="25" customHeight="1" x14ac:dyDescent="0.2">
      <c r="A2">
        <v>4994</v>
      </c>
      <c r="B2">
        <v>17.100000000000001</v>
      </c>
    </row>
    <row r="3" spans="1:2" ht="25" customHeight="1" x14ac:dyDescent="0.2">
      <c r="A3">
        <v>4095</v>
      </c>
      <c r="B3">
        <v>37.799999999999997</v>
      </c>
    </row>
    <row r="4" spans="1:2" ht="25" customHeight="1" x14ac:dyDescent="0.2">
      <c r="A4">
        <v>4875</v>
      </c>
      <c r="B4">
        <v>47.48</v>
      </c>
    </row>
    <row r="5" spans="1:2" ht="25" customHeight="1" x14ac:dyDescent="0.2">
      <c r="A5">
        <v>4460</v>
      </c>
      <c r="B5">
        <v>94.5</v>
      </c>
    </row>
    <row r="6" spans="1:2" ht="25" customHeight="1" x14ac:dyDescent="0.2">
      <c r="A6">
        <v>5083</v>
      </c>
      <c r="B6">
        <v>104.4</v>
      </c>
    </row>
    <row r="7" spans="1:2" ht="25" customHeight="1" x14ac:dyDescent="0.2">
      <c r="A7">
        <v>5023</v>
      </c>
      <c r="B7">
        <v>110.64</v>
      </c>
    </row>
    <row r="8" spans="1:2" ht="25" customHeight="1" x14ac:dyDescent="0.2">
      <c r="A8">
        <v>4811</v>
      </c>
      <c r="B8">
        <v>114.94</v>
      </c>
    </row>
    <row r="9" spans="1:2" x14ac:dyDescent="0.2">
      <c r="A9">
        <v>5074</v>
      </c>
      <c r="B9">
        <v>118.08</v>
      </c>
    </row>
    <row r="10" spans="1:2" ht="25" customHeight="1" x14ac:dyDescent="0.2">
      <c r="A10">
        <v>4933</v>
      </c>
      <c r="B10">
        <v>137.16</v>
      </c>
    </row>
    <row r="11" spans="1:2" ht="25" customHeight="1" x14ac:dyDescent="0.2">
      <c r="A11">
        <v>4951</v>
      </c>
      <c r="B11">
        <v>152.88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2EAC-6D91-E844-BB29-C9E64AC9DD4D}">
  <dimension ref="A1:B12"/>
  <sheetViews>
    <sheetView workbookViewId="0">
      <selection activeCell="P6" sqref="P6"/>
    </sheetView>
  </sheetViews>
  <sheetFormatPr baseColWidth="10" defaultRowHeight="16" x14ac:dyDescent="0.2"/>
  <cols>
    <col min="1" max="1" width="13" bestFit="1" customWidth="1"/>
    <col min="2" max="2" width="18.5" bestFit="1" customWidth="1"/>
  </cols>
  <sheetData>
    <row r="1" spans="1:2" x14ac:dyDescent="0.2">
      <c r="A1" s="1" t="s">
        <v>13</v>
      </c>
      <c r="B1" t="s">
        <v>15</v>
      </c>
    </row>
    <row r="2" spans="1:2" x14ac:dyDescent="0.2">
      <c r="A2" s="2">
        <v>4951</v>
      </c>
      <c r="B2" s="3">
        <v>152.88</v>
      </c>
    </row>
    <row r="3" spans="1:2" x14ac:dyDescent="0.2">
      <c r="A3" s="2">
        <v>4933</v>
      </c>
      <c r="B3" s="3">
        <v>137.16</v>
      </c>
    </row>
    <row r="4" spans="1:2" x14ac:dyDescent="0.2">
      <c r="A4" s="2">
        <v>5074</v>
      </c>
      <c r="B4" s="3">
        <v>118.08</v>
      </c>
    </row>
    <row r="5" spans="1:2" x14ac:dyDescent="0.2">
      <c r="A5" s="2">
        <v>4811</v>
      </c>
      <c r="B5" s="3">
        <v>114.94</v>
      </c>
    </row>
    <row r="6" spans="1:2" x14ac:dyDescent="0.2">
      <c r="A6" s="2">
        <v>5023</v>
      </c>
      <c r="B6" s="3">
        <v>110.64</v>
      </c>
    </row>
    <row r="7" spans="1:2" x14ac:dyDescent="0.2">
      <c r="A7" s="2">
        <v>5083</v>
      </c>
      <c r="B7" s="3">
        <v>104.4</v>
      </c>
    </row>
    <row r="8" spans="1:2" x14ac:dyDescent="0.2">
      <c r="A8" s="2">
        <v>4460</v>
      </c>
      <c r="B8" s="3">
        <v>94.5</v>
      </c>
    </row>
    <row r="9" spans="1:2" x14ac:dyDescent="0.2">
      <c r="A9" s="2">
        <v>4875</v>
      </c>
      <c r="B9" s="3">
        <v>47.48</v>
      </c>
    </row>
    <row r="10" spans="1:2" x14ac:dyDescent="0.2">
      <c r="A10" s="2">
        <v>4095</v>
      </c>
      <c r="B10" s="3">
        <v>37.799999999999997</v>
      </c>
    </row>
    <row r="11" spans="1:2" x14ac:dyDescent="0.2">
      <c r="A11" s="2">
        <v>4994</v>
      </c>
      <c r="B11" s="3">
        <v>17.100000000000001</v>
      </c>
    </row>
    <row r="12" spans="1:2" x14ac:dyDescent="0.2">
      <c r="A12" s="2" t="s">
        <v>14</v>
      </c>
      <c r="B12" s="3">
        <v>934.98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DBD5-BC79-8640-973C-3DD1728894D6}">
  <dimension ref="A1:D11"/>
  <sheetViews>
    <sheetView workbookViewId="0">
      <selection activeCell="A17" sqref="A17"/>
    </sheetView>
  </sheetViews>
  <sheetFormatPr baseColWidth="10" defaultRowHeight="16" x14ac:dyDescent="0.2"/>
  <cols>
    <col min="1" max="1" width="29.83203125" customWidth="1"/>
    <col min="2" max="2" width="26" customWidth="1"/>
    <col min="3" max="3" width="28.6640625" customWidth="1"/>
    <col min="4" max="4" width="29.5" customWidth="1"/>
  </cols>
  <sheetData>
    <row r="1" spans="1:4" ht="57" customHeight="1" x14ac:dyDescent="0.2">
      <c r="A1" s="5" t="s">
        <v>26</v>
      </c>
      <c r="B1" s="5" t="s">
        <v>2</v>
      </c>
      <c r="C1" s="5" t="s">
        <v>27</v>
      </c>
      <c r="D1" s="5" t="s">
        <v>1</v>
      </c>
    </row>
    <row r="2" spans="1:4" ht="25" customHeight="1" x14ac:dyDescent="0.2">
      <c r="A2" s="3" t="s">
        <v>28</v>
      </c>
      <c r="B2">
        <v>15443</v>
      </c>
      <c r="C2">
        <v>16.82</v>
      </c>
      <c r="D2">
        <v>2893729.97</v>
      </c>
    </row>
    <row r="3" spans="1:4" ht="25" customHeight="1" x14ac:dyDescent="0.2">
      <c r="A3" s="3" t="s">
        <v>29</v>
      </c>
      <c r="B3">
        <v>7297</v>
      </c>
      <c r="C3">
        <v>13.92</v>
      </c>
      <c r="D3">
        <v>603142.19999999995</v>
      </c>
    </row>
    <row r="4" spans="1:4" ht="25" customHeight="1" x14ac:dyDescent="0.2">
      <c r="A4" s="3" t="s">
        <v>30</v>
      </c>
      <c r="B4">
        <v>3933</v>
      </c>
      <c r="C4">
        <v>16.5</v>
      </c>
      <c r="D4">
        <v>417029.7</v>
      </c>
    </row>
    <row r="5" spans="1:4" ht="25" customHeight="1" x14ac:dyDescent="0.2">
      <c r="A5" s="3" t="s">
        <v>31</v>
      </c>
      <c r="B5">
        <v>2376</v>
      </c>
      <c r="C5">
        <v>16.55</v>
      </c>
      <c r="D5">
        <v>324562.05</v>
      </c>
    </row>
    <row r="6" spans="1:4" ht="25" customHeight="1" x14ac:dyDescent="0.2">
      <c r="A6" s="3" t="s">
        <v>32</v>
      </c>
      <c r="B6">
        <v>1531</v>
      </c>
      <c r="C6">
        <v>16.55</v>
      </c>
      <c r="D6">
        <v>218989.6</v>
      </c>
    </row>
    <row r="7" spans="1:4" ht="25" customHeight="1" x14ac:dyDescent="0.2">
      <c r="A7" s="3" t="s">
        <v>33</v>
      </c>
      <c r="B7">
        <v>1365</v>
      </c>
      <c r="C7">
        <v>15.62</v>
      </c>
      <c r="D7">
        <v>193587.23</v>
      </c>
    </row>
    <row r="8" spans="1:4" ht="25" customHeight="1" x14ac:dyDescent="0.2">
      <c r="A8" s="3" t="s">
        <v>34</v>
      </c>
      <c r="B8">
        <v>5028</v>
      </c>
      <c r="C8">
        <v>10.24</v>
      </c>
      <c r="D8">
        <v>112953.71</v>
      </c>
    </row>
    <row r="9" spans="1:4" ht="25" customHeight="1" x14ac:dyDescent="0.2">
      <c r="A9" s="3" t="s">
        <v>35</v>
      </c>
      <c r="B9">
        <v>1475</v>
      </c>
      <c r="C9">
        <v>11.79</v>
      </c>
      <c r="D9">
        <v>62628.480000000003</v>
      </c>
    </row>
    <row r="10" spans="1:4" ht="25" customHeight="1" x14ac:dyDescent="0.2">
      <c r="A10" s="3" t="s">
        <v>36</v>
      </c>
      <c r="B10">
        <v>565</v>
      </c>
      <c r="C10">
        <v>16.5</v>
      </c>
      <c r="D10">
        <v>46974.2</v>
      </c>
    </row>
    <row r="11" spans="1:4" ht="25" customHeight="1" x14ac:dyDescent="0.2">
      <c r="A11" s="3" t="s">
        <v>37</v>
      </c>
      <c r="B11">
        <v>408</v>
      </c>
      <c r="C11">
        <v>16.5</v>
      </c>
      <c r="D11">
        <v>25746.45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4553-4900-424A-98EB-CA21DB0DDAA0}">
  <dimension ref="A1:B12"/>
  <sheetViews>
    <sheetView topLeftCell="A2" workbookViewId="0">
      <selection activeCell="F37" sqref="F37"/>
    </sheetView>
  </sheetViews>
  <sheetFormatPr baseColWidth="10" defaultRowHeight="16" x14ac:dyDescent="0.2"/>
  <cols>
    <col min="1" max="1" width="21.1640625" bestFit="1" customWidth="1"/>
    <col min="2" max="2" width="18.5" bestFit="1" customWidth="1"/>
    <col min="3" max="3" width="17.83203125" bestFit="1" customWidth="1"/>
  </cols>
  <sheetData>
    <row r="1" spans="1:2" x14ac:dyDescent="0.2">
      <c r="A1" s="1" t="s">
        <v>13</v>
      </c>
      <c r="B1" t="s">
        <v>15</v>
      </c>
    </row>
    <row r="2" spans="1:2" x14ac:dyDescent="0.2">
      <c r="A2" s="2" t="s">
        <v>28</v>
      </c>
      <c r="B2" s="3">
        <v>2893729.97</v>
      </c>
    </row>
    <row r="3" spans="1:2" x14ac:dyDescent="0.2">
      <c r="A3" s="2" t="s">
        <v>29</v>
      </c>
      <c r="B3" s="3">
        <v>603142.19999999995</v>
      </c>
    </row>
    <row r="4" spans="1:2" x14ac:dyDescent="0.2">
      <c r="A4" s="2" t="s">
        <v>30</v>
      </c>
      <c r="B4" s="3">
        <v>417029.7</v>
      </c>
    </row>
    <row r="5" spans="1:2" x14ac:dyDescent="0.2">
      <c r="A5" s="2" t="s">
        <v>31</v>
      </c>
      <c r="B5" s="3">
        <v>324562.05</v>
      </c>
    </row>
    <row r="6" spans="1:2" x14ac:dyDescent="0.2">
      <c r="A6" s="2" t="s">
        <v>32</v>
      </c>
      <c r="B6" s="3">
        <v>218989.6</v>
      </c>
    </row>
    <row r="7" spans="1:2" x14ac:dyDescent="0.2">
      <c r="A7" s="2" t="s">
        <v>33</v>
      </c>
      <c r="B7" s="3">
        <v>193587.23</v>
      </c>
    </row>
    <row r="8" spans="1:2" x14ac:dyDescent="0.2">
      <c r="A8" s="2" t="s">
        <v>34</v>
      </c>
      <c r="B8" s="3">
        <v>112953.71</v>
      </c>
    </row>
    <row r="9" spans="1:2" x14ac:dyDescent="0.2">
      <c r="A9" s="2" t="s">
        <v>35</v>
      </c>
      <c r="B9" s="3">
        <v>62628.480000000003</v>
      </c>
    </row>
    <row r="10" spans="1:2" x14ac:dyDescent="0.2">
      <c r="A10" s="2" t="s">
        <v>36</v>
      </c>
      <c r="B10" s="3">
        <v>46974.2</v>
      </c>
    </row>
    <row r="11" spans="1:2" x14ac:dyDescent="0.2">
      <c r="A11" s="2" t="s">
        <v>37</v>
      </c>
      <c r="B11" s="3">
        <v>25746.45</v>
      </c>
    </row>
    <row r="12" spans="1:2" x14ac:dyDescent="0.2">
      <c r="A12" s="2" t="s">
        <v>14</v>
      </c>
      <c r="B12" s="3">
        <v>4899343.5900000008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4DD0-395F-8A4C-A290-B7F742F0FB7C}">
  <dimension ref="A1:B10"/>
  <sheetViews>
    <sheetView workbookViewId="0">
      <selection activeCell="R17" sqref="R17"/>
    </sheetView>
  </sheetViews>
  <sheetFormatPr baseColWidth="10" defaultRowHeight="16" x14ac:dyDescent="0.2"/>
  <cols>
    <col min="1" max="1" width="28.6640625" bestFit="1" customWidth="1"/>
    <col min="2" max="2" width="18.5" bestFit="1" customWidth="1"/>
  </cols>
  <sheetData>
    <row r="1" spans="1:2" x14ac:dyDescent="0.2">
      <c r="A1" s="1" t="s">
        <v>13</v>
      </c>
      <c r="B1" t="s">
        <v>15</v>
      </c>
    </row>
    <row r="2" spans="1:2" x14ac:dyDescent="0.2">
      <c r="A2" s="2" t="s">
        <v>18</v>
      </c>
      <c r="B2" s="3">
        <v>80450753.200000003</v>
      </c>
    </row>
    <row r="3" spans="1:2" x14ac:dyDescent="0.2">
      <c r="A3" s="2" t="s">
        <v>19</v>
      </c>
      <c r="B3" s="3">
        <v>31493233.629999999</v>
      </c>
    </row>
    <row r="4" spans="1:2" x14ac:dyDescent="0.2">
      <c r="A4" s="2" t="s">
        <v>20</v>
      </c>
      <c r="B4" s="3">
        <v>27934807</v>
      </c>
    </row>
    <row r="5" spans="1:2" x14ac:dyDescent="0.2">
      <c r="A5" s="2" t="s">
        <v>21</v>
      </c>
      <c r="B5" s="3">
        <v>22957317.07</v>
      </c>
    </row>
    <row r="6" spans="1:2" x14ac:dyDescent="0.2">
      <c r="A6" s="2" t="s">
        <v>22</v>
      </c>
      <c r="B6" s="3">
        <v>22448730.460000001</v>
      </c>
    </row>
    <row r="7" spans="1:2" x14ac:dyDescent="0.2">
      <c r="A7" s="2" t="s">
        <v>23</v>
      </c>
      <c r="B7" s="3">
        <v>18832855.469999999</v>
      </c>
    </row>
    <row r="8" spans="1:2" x14ac:dyDescent="0.2">
      <c r="A8" s="2" t="s">
        <v>24</v>
      </c>
      <c r="B8" s="3">
        <v>14392739.859999999</v>
      </c>
    </row>
    <row r="9" spans="1:2" x14ac:dyDescent="0.2">
      <c r="A9" s="2" t="s">
        <v>25</v>
      </c>
      <c r="B9" s="3">
        <v>12346146.16</v>
      </c>
    </row>
    <row r="10" spans="1:2" x14ac:dyDescent="0.2">
      <c r="A10" s="2" t="s">
        <v>14</v>
      </c>
      <c r="B10" s="3">
        <v>230856582.85000002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E13A-D0DC-9941-A135-C14AAC52D2F0}">
  <dimension ref="A1:B9"/>
  <sheetViews>
    <sheetView workbookViewId="0"/>
  </sheetViews>
  <sheetFormatPr baseColWidth="10" defaultRowHeight="16" x14ac:dyDescent="0.2"/>
  <cols>
    <col min="1" max="1" width="33.83203125" customWidth="1"/>
    <col min="2" max="2" width="31.5" customWidth="1"/>
  </cols>
  <sheetData>
    <row r="1" spans="1:2" ht="57" customHeight="1" x14ac:dyDescent="0.2">
      <c r="A1" s="4" t="s">
        <v>17</v>
      </c>
      <c r="B1" s="4" t="s">
        <v>1</v>
      </c>
    </row>
    <row r="2" spans="1:2" ht="25" customHeight="1" x14ac:dyDescent="0.2">
      <c r="A2" s="3" t="s">
        <v>18</v>
      </c>
      <c r="B2">
        <v>80450753.200000003</v>
      </c>
    </row>
    <row r="3" spans="1:2" ht="25" customHeight="1" x14ac:dyDescent="0.2">
      <c r="A3" s="3" t="s">
        <v>19</v>
      </c>
      <c r="B3">
        <v>31493233.629999999</v>
      </c>
    </row>
    <row r="4" spans="1:2" ht="25" customHeight="1" x14ac:dyDescent="0.2">
      <c r="A4" s="3" t="s">
        <v>20</v>
      </c>
      <c r="B4">
        <v>27934807</v>
      </c>
    </row>
    <row r="5" spans="1:2" ht="25" customHeight="1" x14ac:dyDescent="0.2">
      <c r="A5" s="3" t="s">
        <v>21</v>
      </c>
      <c r="B5">
        <v>22957317.07</v>
      </c>
    </row>
    <row r="6" spans="1:2" ht="25" customHeight="1" x14ac:dyDescent="0.2">
      <c r="A6" s="3" t="s">
        <v>22</v>
      </c>
      <c r="B6">
        <v>22448730.460000001</v>
      </c>
    </row>
    <row r="7" spans="1:2" ht="25" customHeight="1" x14ac:dyDescent="0.2">
      <c r="A7" s="3" t="s">
        <v>23</v>
      </c>
      <c r="B7">
        <v>18832855.469999999</v>
      </c>
    </row>
    <row r="8" spans="1:2" ht="25" customHeight="1" x14ac:dyDescent="0.2">
      <c r="A8" s="3" t="s">
        <v>24</v>
      </c>
      <c r="B8">
        <v>14392739.859999999</v>
      </c>
    </row>
    <row r="9" spans="1:2" ht="25" customHeight="1" x14ac:dyDescent="0.2">
      <c r="A9" s="3" t="s">
        <v>25</v>
      </c>
      <c r="B9">
        <v>12346146.16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78581C-49FE-1D45-8439-DFB3EC839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Q13</vt:lpstr>
      <vt:lpstr>Q13 Chart</vt:lpstr>
      <vt:lpstr>Q6 </vt:lpstr>
      <vt:lpstr>Q6 Chart</vt:lpstr>
      <vt:lpstr>Q10 </vt:lpstr>
      <vt:lpstr>Q10 Chart</vt:lpstr>
      <vt:lpstr>Q7 Chart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2026-04-28T19:54:40Z</dcterms:created>
  <dcterms:modified xsi:type="dcterms:W3CDTF">2026-04-29T02:47:04Z</dcterms:modified>
</cp:coreProperties>
</file>