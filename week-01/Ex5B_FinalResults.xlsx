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/>
  <mc:AlternateContent xmlns:mc="http://schemas.openxmlformats.org/markup-compatibility/2006">
    <mc:Choice Requires="x15">
      <x15ac:absPath xmlns:x15ac="http://schemas.microsoft.com/office/spreadsheetml/2010/11/ac" url="/Users/caglacelik/Documents/DataAnalytics/week-01/"/>
    </mc:Choice>
  </mc:AlternateContent>
  <xr:revisionPtr revIDLastSave="0" documentId="13_ncr:1_{27228B2D-AF3D-384C-AB51-C1224F9F6DF4}" xr6:coauthVersionLast="47" xr6:coauthVersionMax="47" xr10:uidLastSave="{00000000-0000-0000-0000-000000000000}"/>
  <bookViews>
    <workbookView xWindow="440" yWindow="760" windowWidth="28800" windowHeight="13900" activeTab="1" xr2:uid="{00000000-000D-0000-FFFF-FFFF00000000}"/>
  </bookViews>
  <sheets>
    <sheet name="Sheet2" sheetId="2" r:id="rId1"/>
    <sheet name="Sheet1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</calcChain>
</file>

<file path=xl/sharedStrings.xml><?xml version="1.0" encoding="utf-8"?>
<sst xmlns="http://schemas.openxmlformats.org/spreadsheetml/2006/main" count="293" uniqueCount="98">
  <si>
    <t>ID</t>
  </si>
  <si>
    <t>Start time</t>
  </si>
  <si>
    <t>Completion time</t>
  </si>
  <si>
    <t>Email</t>
  </si>
  <si>
    <t>Name</t>
  </si>
  <si>
    <t>Last modified time</t>
  </si>
  <si>
    <t>What is your age?</t>
  </si>
  <si>
    <t>What is your gender?</t>
  </si>
  <si>
    <t>Where are you visiting from?</t>
  </si>
  <si>
    <t>How often do you visit our restaurant?</t>
  </si>
  <si>
    <t>Food</t>
  </si>
  <si>
    <t>Service</t>
  </si>
  <si>
    <t>Atmosphere</t>
  </si>
  <si>
    <t>How likely are you to return to our restaurant?</t>
  </si>
  <si>
    <t>Would you be interested in a rewards program or special promotions?</t>
  </si>
  <si>
    <t>Is there anything we could improve? (optional)</t>
  </si>
  <si>
    <t>ccelik@my.yearupunited.org</t>
  </si>
  <si>
    <t>cagla celik</t>
  </si>
  <si>
    <t>18-24</t>
  </si>
  <si>
    <t>Female</t>
  </si>
  <si>
    <t>Out of state</t>
  </si>
  <si>
    <t>First Time</t>
  </si>
  <si>
    <t>Good</t>
  </si>
  <si>
    <t>Average</t>
  </si>
  <si>
    <t>Excellent</t>
  </si>
  <si>
    <t>Both</t>
  </si>
  <si>
    <t>25-34</t>
  </si>
  <si>
    <t>Male</t>
  </si>
  <si>
    <t>Suburb</t>
  </si>
  <si>
    <t>Not interested</t>
  </si>
  <si>
    <t>okaraer@my.yearupunited.org</t>
  </si>
  <si>
    <t>onur karaer</t>
  </si>
  <si>
    <t>Yes, holiday/special day campaigns</t>
  </si>
  <si>
    <t>jnavarroservin@my.yearupunited.org</t>
  </si>
  <si>
    <t>jessica navarroservin</t>
  </si>
  <si>
    <t xml:space="preserve">Offer gluten-free options, please </t>
  </si>
  <si>
    <t>asago@my.yearupunited.org</t>
  </si>
  <si>
    <t>antwaushea sago</t>
  </si>
  <si>
    <t>Local</t>
  </si>
  <si>
    <t>tarista@my.yearupunited.org</t>
  </si>
  <si>
    <t>tracy arista</t>
  </si>
  <si>
    <t>Happy hour appetizer specials</t>
  </si>
  <si>
    <t>jalmarazflores@my.yearupunited.org</t>
  </si>
  <si>
    <t>julissa almarazflores</t>
  </si>
  <si>
    <t>point system</t>
  </si>
  <si>
    <t>ssimsek@my.yearupunited.org</t>
  </si>
  <si>
    <t>sultan simsek</t>
  </si>
  <si>
    <t>Fair</t>
  </si>
  <si>
    <t>Very Poor</t>
  </si>
  <si>
    <t>Under 18</t>
  </si>
  <si>
    <t>Prefer not to say</t>
  </si>
  <si>
    <t>Monthly</t>
  </si>
  <si>
    <t>Yes, rewards/loyalty program</t>
  </si>
  <si>
    <t>kmarsh1@my.yearupunited.org</t>
  </si>
  <si>
    <t>kiersten marsh</t>
  </si>
  <si>
    <t>Occasionally</t>
  </si>
  <si>
    <t xml:space="preserve">Maybe add customization </t>
  </si>
  <si>
    <t>docampo@my.yearupunited.org</t>
  </si>
  <si>
    <t>david ocampo</t>
  </si>
  <si>
    <t>pmartinez@my.yearupunited.org</t>
  </si>
  <si>
    <t>paola martinez</t>
  </si>
  <si>
    <t>edebero@my.yearupunited.org</t>
  </si>
  <si>
    <t>eyerusalem debero</t>
  </si>
  <si>
    <t>Everything was good, keep the same quality and service.</t>
  </si>
  <si>
    <t>mruiz3@my.yearupunited.org</t>
  </si>
  <si>
    <t>maritza ruiz</t>
  </si>
  <si>
    <t>N/A</t>
  </si>
  <si>
    <t>arollins@my.yearupunited.org</t>
  </si>
  <si>
    <t>ariel rollins</t>
  </si>
  <si>
    <t>fbaslar@my.yearupunited.org</t>
  </si>
  <si>
    <t>fuat baslar</t>
  </si>
  <si>
    <t>tjuarez@my.yearupunited.org</t>
  </si>
  <si>
    <t>teodoro juarez</t>
  </si>
  <si>
    <t>aosorio@my.yearupunited.org</t>
  </si>
  <si>
    <t>angel osorio</t>
  </si>
  <si>
    <t>Increased menu items</t>
  </si>
  <si>
    <t>cugur@my.yearupunited.org</t>
  </si>
  <si>
    <t>ceyhun ugur</t>
  </si>
  <si>
    <t>ktesema@my.yearupunited.org</t>
  </si>
  <si>
    <t>kidus tesema</t>
  </si>
  <si>
    <t>Weekly</t>
  </si>
  <si>
    <t>msaeday@my.yearupunited.org</t>
  </si>
  <si>
    <t>mina saeday</t>
  </si>
  <si>
    <t>International</t>
  </si>
  <si>
    <t>wpoindexter@my.yearupunited.org</t>
  </si>
  <si>
    <t>william poindexter</t>
  </si>
  <si>
    <t>rmengesha@my.yearupunited.org</t>
  </si>
  <si>
    <t>vegan options</t>
  </si>
  <si>
    <t>gmutize@my.yearupunited.org</t>
  </si>
  <si>
    <t>godknows mutize</t>
  </si>
  <si>
    <t>lpham1@my.yearupunited.org</t>
  </si>
  <si>
    <t>longley pham</t>
  </si>
  <si>
    <t>Time to Complete</t>
  </si>
  <si>
    <t>Count of Name</t>
  </si>
  <si>
    <t>Row Labels</t>
  </si>
  <si>
    <t>Grand Total</t>
  </si>
  <si>
    <t>(blank)</t>
  </si>
  <si>
    <t>Sum of How likely are you to return to our restaurant?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</si>
</sst>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1">
    <dxf>
      <numFmt numFmtId="164" formatCode="m/d/yy\ h:mm:ss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[Ex5B_FinalResults.xlsx]Sheet2!PivotTable7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8.4566596194503175E-3"/>
          <c:y val="0.18954758349171871"/>
          <c:w val="0.83214246475004583"/>
          <c:h val="0.77165931306000546"/>
        </c:manualLayout>
      </c:layout>
      <c:ofPieChart>
        <c:ofPieType val="pie"/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52-1646-B101-59AEC180B3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52-1646-B101-59AEC180B3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52-1646-B101-59AEC180B3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BF1-574B-955B-ED83A62315D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Sheet2!$A$2:$A$5</c:f>
              <c:strCache>
                <c:ptCount val="3"/>
                <c:pt idx="0">
                  <c:v>18-24</c:v>
                </c:pt>
                <c:pt idx="1">
                  <c:v>25-34</c:v>
                </c:pt>
                <c:pt idx="2">
                  <c:v>Under 18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10</c:v>
                </c:pt>
                <c:pt idx="1">
                  <c:v>14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1-574B-955B-ED83A62315D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219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[Ex5B_FinalResults.xlsx]Sheet2!PivotTable11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Sheet2!$B$21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58-C642-9A60-2FFC8AEF7E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58-C642-9A60-2FFC8AEF7E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58-C642-9A60-2FFC8AEF7E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C58-C642-9A60-2FFC8AEF7E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C58-C642-9A60-2FFC8AEF7E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C58-C642-9A60-2FFC8AEF7E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C58-C642-9A60-2FFC8AEF7E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C58-C642-9A60-2FFC8AEF7E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C58-C642-9A60-2FFC8AEF7EF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C58-C642-9A60-2FFC8AEF7E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C58-C642-9A60-2FFC8AEF7EF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Sheet2!$A$22:$A$37</c:f>
              <c:multiLvlStrCache>
                <c:ptCount val="10"/>
                <c:lvl>
                  <c:pt idx="0">
                    <c:v>Excellent</c:v>
                  </c:pt>
                  <c:pt idx="1">
                    <c:v>Average</c:v>
                  </c:pt>
                  <c:pt idx="2">
                    <c:v>Excellent</c:v>
                  </c:pt>
                  <c:pt idx="3">
                    <c:v>Fair</c:v>
                  </c:pt>
                  <c:pt idx="4">
                    <c:v>Good</c:v>
                  </c:pt>
                  <c:pt idx="5">
                    <c:v>Excellent</c:v>
                  </c:pt>
                  <c:pt idx="6">
                    <c:v>Good</c:v>
                  </c:pt>
                  <c:pt idx="7">
                    <c:v>Excellent</c:v>
                  </c:pt>
                  <c:pt idx="8">
                    <c:v>Good</c:v>
                  </c:pt>
                  <c:pt idx="9">
                    <c:v>(blank)</c:v>
                  </c:pt>
                </c:lvl>
                <c:lvl>
                  <c:pt idx="0">
                    <c:v>International</c:v>
                  </c:pt>
                  <c:pt idx="1">
                    <c:v>Local</c:v>
                  </c:pt>
                  <c:pt idx="5">
                    <c:v>Out of state</c:v>
                  </c:pt>
                  <c:pt idx="7">
                    <c:v>Suburb</c:v>
                  </c:pt>
                  <c:pt idx="9">
                    <c:v>(blank)</c:v>
                  </c:pt>
                </c:lvl>
              </c:multiLvlStrCache>
            </c:multiLvlStrRef>
          </c:cat>
          <c:val>
            <c:numRef>
              <c:f>Sheet2!$B$22:$B$37</c:f>
              <c:numCache>
                <c:formatCode>General</c:formatCode>
                <c:ptCount val="10"/>
                <c:pt idx="0">
                  <c:v>10</c:v>
                </c:pt>
                <c:pt idx="1">
                  <c:v>8</c:v>
                </c:pt>
                <c:pt idx="2">
                  <c:v>62</c:v>
                </c:pt>
                <c:pt idx="3">
                  <c:v>6</c:v>
                </c:pt>
                <c:pt idx="4">
                  <c:v>40</c:v>
                </c:pt>
                <c:pt idx="5">
                  <c:v>16</c:v>
                </c:pt>
                <c:pt idx="6">
                  <c:v>25</c:v>
                </c:pt>
                <c:pt idx="7">
                  <c:v>10</c:v>
                </c:pt>
                <c:pt idx="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F-854A-B5EE-FF677304908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219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0</xdr:row>
      <xdr:rowOff>12700</xdr:rowOff>
    </xdr:from>
    <xdr:to>
      <xdr:col>10</xdr:col>
      <xdr:colOff>330200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1EE57-E54E-8CF9-E9F0-39CE3014F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508000</xdr:colOff>
      <xdr:row>20</xdr:row>
      <xdr:rowOff>165100</xdr:rowOff>
    </xdr:from>
    <xdr:to>
      <xdr:col>9</xdr:col>
      <xdr:colOff>749300</xdr:colOff>
      <xdr:row>36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368A52-8537-3CE5-C650-24EDE7C56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Çağla Çelik" refreshedDate="46121.65825601852" createdVersion="8" refreshedVersion="8" minRefreshableVersion="3" recordCount="25" xr:uid="{10E45664-A3E7-5941-B228-7ED5FB78B98F}">
  <cacheSource type="worksheet">
    <worksheetSource name="Table1"/>
  </cacheSource>
  <cacheFields count="17">
    <cacheField name="ID" numFmtId="0">
      <sharedItems containsSemiMixedTypes="0" containsString="0" containsNumber="1" containsInteger="1" minValue="1" maxValue="25"/>
    </cacheField>
    <cacheField name="Start time" numFmtId="165">
      <sharedItems containsSemiMixedTypes="0" containsNonDate="0" containsDate="1" containsString="0" minDate="2026-04-07T19:13:44" maxDate="2026-04-09T14:11:28"/>
    </cacheField>
    <cacheField name="Completion time" numFmtId="165">
      <sharedItems containsSemiMixedTypes="0" containsNonDate="0" containsDate="1" containsString="0" minDate="2026-04-07T19:14:39" maxDate="2026-04-09T14:11:39"/>
    </cacheField>
    <cacheField name="Time to Complete" numFmtId="45">
      <sharedItems containsSemiMixedTypes="0" containsNonDate="0" containsDate="1" containsString="0" minDate="1899-12-30T00:00:11" maxDate="1899-12-30T19:56:09"/>
    </cacheField>
    <cacheField name="Email" numFmtId="0">
      <sharedItems/>
    </cacheField>
    <cacheField name="Name" numFmtId="0">
      <sharedItems/>
    </cacheField>
    <cacheField name="Last modified time" numFmtId="164">
      <sharedItems containsNonDate="0" containsString="0" containsBlank="1"/>
    </cacheField>
    <cacheField name="What is your age?" numFmtId="0">
      <sharedItems count="3">
        <s v="18-24"/>
        <s v="25-34"/>
        <s v="Under 18"/>
      </sharedItems>
    </cacheField>
    <cacheField name="What is your gender?" numFmtId="0">
      <sharedItems/>
    </cacheField>
    <cacheField name="Where are you visiting from?" numFmtId="0">
      <sharedItems containsBlank="1" count="5">
        <s v="Out of state"/>
        <s v="Suburb"/>
        <s v="Local"/>
        <s v="International"/>
        <m/>
      </sharedItems>
    </cacheField>
    <cacheField name="How often do you visit our restaurant?" numFmtId="0">
      <sharedItems containsBlank="1"/>
    </cacheField>
    <cacheField name="Food" numFmtId="0">
      <sharedItems containsBlank="1" count="5">
        <s v="Good"/>
        <s v="Excellent"/>
        <s v="Fair"/>
        <s v="Average"/>
        <m/>
      </sharedItems>
    </cacheField>
    <cacheField name="Service" numFmtId="0">
      <sharedItems containsBlank="1"/>
    </cacheField>
    <cacheField name="Atmosphere" numFmtId="0">
      <sharedItems containsBlank="1"/>
    </cacheField>
    <cacheField name="How likely are you to return to our restaurant?" numFmtId="0">
      <sharedItems containsString="0" containsBlank="1" containsNumber="1" containsInteger="1" minValue="6" maxValue="10"/>
    </cacheField>
    <cacheField name="Would you be interested in a rewards program or special promotions?" numFmtId="0">
      <sharedItems containsBlank="1"/>
    </cacheField>
    <cacheField name="Is there anything we could improve? (optional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d v="2026-04-07T19:13:44"/>
    <d v="2026-04-07T19:14:39"/>
    <d v="1899-12-30T00:00:55"/>
    <s v="ccelik@my.yearupunited.org"/>
    <s v="cagla celik"/>
    <m/>
    <x v="0"/>
    <s v="Female"/>
    <x v="0"/>
    <s v="First Time"/>
    <x v="0"/>
    <s v="Average"/>
    <s v="Excellent"/>
    <n v="6"/>
    <s v="Both"/>
    <m/>
  </r>
  <r>
    <n v="2"/>
    <d v="2026-04-07T20:08:33"/>
    <d v="2026-04-07T20:09:29"/>
    <d v="1899-12-30T00:00:56"/>
    <s v="ccelik@my.yearupunited.org"/>
    <s v="cagla celik"/>
    <m/>
    <x v="1"/>
    <s v="Male"/>
    <x v="1"/>
    <s v="First Time"/>
    <x v="0"/>
    <s v="Good"/>
    <s v="Excellent"/>
    <n v="9"/>
    <s v="Not interested"/>
    <m/>
  </r>
  <r>
    <n v="3"/>
    <d v="2026-04-08T10:27:58"/>
    <d v="2026-04-08T10:28:36"/>
    <d v="1899-12-30T00:00:38"/>
    <s v="okaraer@my.yearupunited.org"/>
    <s v="onur karaer"/>
    <m/>
    <x v="1"/>
    <s v="Male"/>
    <x v="0"/>
    <s v="First Time"/>
    <x v="1"/>
    <s v="Good"/>
    <s v="Good"/>
    <n v="8"/>
    <s v="Yes, holiday/special day campaigns"/>
    <m/>
  </r>
  <r>
    <n v="4"/>
    <d v="2026-04-08T15:24:28"/>
    <d v="2026-04-08T15:26:23"/>
    <d v="1899-12-30T00:01:55"/>
    <s v="jnavarroservin@my.yearupunited.org"/>
    <s v="jessica navarroservin"/>
    <m/>
    <x v="1"/>
    <s v="Female"/>
    <x v="0"/>
    <s v="First Time"/>
    <x v="1"/>
    <s v="Average"/>
    <s v="Good"/>
    <n v="8"/>
    <s v="Both"/>
    <s v="Offer gluten-free options, please "/>
  </r>
  <r>
    <n v="5"/>
    <d v="2026-04-08T15:28:13"/>
    <d v="2026-04-08T15:29:04"/>
    <d v="1899-12-30T00:00:51"/>
    <s v="asago@my.yearupunited.org"/>
    <s v="antwaushea sago"/>
    <m/>
    <x v="1"/>
    <s v="Female"/>
    <x v="2"/>
    <s v="First Time"/>
    <x v="1"/>
    <s v="Good"/>
    <s v="Good"/>
    <n v="8"/>
    <s v="Both"/>
    <m/>
  </r>
  <r>
    <n v="6"/>
    <d v="2026-04-08T15:27:27"/>
    <d v="2026-04-08T15:32:16"/>
    <d v="1899-12-30T00:04:49"/>
    <s v="tarista@my.yearupunited.org"/>
    <s v="tracy arista"/>
    <m/>
    <x v="1"/>
    <s v="Female"/>
    <x v="1"/>
    <s v="First Time"/>
    <x v="0"/>
    <s v="Average"/>
    <s v="Excellent"/>
    <n v="6"/>
    <s v="Yes, holiday/special day campaigns"/>
    <s v="Happy hour appetizer specials"/>
  </r>
  <r>
    <n v="7"/>
    <d v="2026-04-08T17:46:39"/>
    <d v="2026-04-08T17:47:32"/>
    <d v="1899-12-30T00:00:53"/>
    <s v="jalmarazflores@my.yearupunited.org"/>
    <s v="julissa almarazflores"/>
    <m/>
    <x v="1"/>
    <s v="Female"/>
    <x v="2"/>
    <s v="First Time"/>
    <x v="0"/>
    <s v="Good"/>
    <s v="Good"/>
    <n v="8"/>
    <s v="Both"/>
    <s v="point system"/>
  </r>
  <r>
    <n v="8"/>
    <d v="2026-04-08T19:42:03"/>
    <d v="2026-04-08T19:43:07"/>
    <d v="1899-12-30T00:01:04"/>
    <s v="ssimsek@my.yearupunited.org"/>
    <s v="sultan simsek"/>
    <m/>
    <x v="1"/>
    <s v="Female"/>
    <x v="2"/>
    <s v="First Time"/>
    <x v="2"/>
    <s v="Very Poor"/>
    <s v="Average"/>
    <n v="6"/>
    <s v="Both"/>
    <m/>
  </r>
  <r>
    <n v="9"/>
    <d v="2026-04-08T19:58:01"/>
    <d v="2026-04-08T19:58:55"/>
    <d v="1899-12-30T00:00:54"/>
    <s v="ccelik@my.yearupunited.org"/>
    <s v="cagla celik"/>
    <m/>
    <x v="2"/>
    <s v="Prefer not to say"/>
    <x v="2"/>
    <s v="Monthly"/>
    <x v="0"/>
    <s v="Average"/>
    <s v="Excellent"/>
    <n v="9"/>
    <s v="Yes, rewards/loyalty program"/>
    <m/>
  </r>
  <r>
    <n v="10"/>
    <d v="2026-04-08T21:31:04"/>
    <d v="2026-04-08T21:32:08"/>
    <d v="1899-12-30T00:01:04"/>
    <s v="kmarsh1@my.yearupunited.org"/>
    <s v="kiersten marsh"/>
    <m/>
    <x v="0"/>
    <s v="Female"/>
    <x v="1"/>
    <s v="Occasionally"/>
    <x v="1"/>
    <s v="Excellent"/>
    <s v="Excellent"/>
    <n v="10"/>
    <s v="Both"/>
    <s v="Maybe add customization "/>
  </r>
  <r>
    <n v="11"/>
    <d v="2026-04-09T09:22:59"/>
    <d v="2026-04-09T09:23:51"/>
    <d v="1899-12-30T00:00:52"/>
    <s v="docampo@my.yearupunited.org"/>
    <s v="david ocampo"/>
    <m/>
    <x v="0"/>
    <s v="Male"/>
    <x v="2"/>
    <s v="First Time"/>
    <x v="0"/>
    <s v="Excellent"/>
    <s v="Average"/>
    <n v="8"/>
    <s v="Not interested"/>
    <m/>
  </r>
  <r>
    <n v="12"/>
    <d v="2026-04-08T15:21:17"/>
    <d v="2026-04-09T11:17:26"/>
    <d v="1899-12-30T19:56:09"/>
    <s v="pmartinez@my.yearupunited.org"/>
    <s v="paola martinez"/>
    <m/>
    <x v="1"/>
    <s v="Female"/>
    <x v="2"/>
    <s v="First Time"/>
    <x v="1"/>
    <s v="Excellent"/>
    <s v="Good"/>
    <n v="9"/>
    <s v="Yes, rewards/loyalty program"/>
    <m/>
  </r>
  <r>
    <n v="13"/>
    <d v="2026-04-09T11:16:18"/>
    <d v="2026-04-09T11:18:25"/>
    <d v="1899-12-30T00:02:07"/>
    <s v="edebero@my.yearupunited.org"/>
    <s v="eyerusalem debero"/>
    <m/>
    <x v="0"/>
    <s v="Female"/>
    <x v="0"/>
    <s v="First Time"/>
    <x v="0"/>
    <s v="Excellent"/>
    <s v="Good"/>
    <n v="9"/>
    <s v="Yes, rewards/loyalty program"/>
    <s v="Everything was good, keep the same quality and service."/>
  </r>
  <r>
    <n v="14"/>
    <d v="2026-04-09T11:34:38"/>
    <d v="2026-04-09T11:40:26"/>
    <d v="1899-12-30T00:05:48"/>
    <s v="mruiz3@my.yearupunited.org"/>
    <s v="maritza ruiz"/>
    <m/>
    <x v="1"/>
    <s v="Female"/>
    <x v="2"/>
    <s v="First Time"/>
    <x v="0"/>
    <s v="Excellent"/>
    <s v="Good"/>
    <n v="8"/>
    <s v="Yes, holiday/special day campaigns"/>
    <s v="N/A"/>
  </r>
  <r>
    <n v="15"/>
    <d v="2026-04-09T13:05:05"/>
    <d v="2026-04-09T13:06:43"/>
    <d v="1899-12-30T00:01:38"/>
    <s v="arollins@my.yearupunited.org"/>
    <s v="ariel rollins"/>
    <m/>
    <x v="1"/>
    <s v="Male"/>
    <x v="2"/>
    <s v="First Time"/>
    <x v="0"/>
    <s v="Good"/>
    <s v="Good"/>
    <n v="7"/>
    <s v="Both"/>
    <m/>
  </r>
  <r>
    <n v="16"/>
    <d v="2026-04-09T13:09:42"/>
    <d v="2026-04-09T13:10:10"/>
    <d v="1899-12-30T00:00:28"/>
    <s v="fbaslar@my.yearupunited.org"/>
    <s v="fuat baslar"/>
    <m/>
    <x v="0"/>
    <s v="Male"/>
    <x v="2"/>
    <s v="Occasionally"/>
    <x v="1"/>
    <s v="Good"/>
    <s v="Good"/>
    <n v="9"/>
    <s v="Not interested"/>
    <m/>
  </r>
  <r>
    <n v="17"/>
    <d v="2026-04-09T13:07:58"/>
    <d v="2026-04-09T13:12:58"/>
    <d v="1899-12-30T00:05:00"/>
    <s v="tjuarez@my.yearupunited.org"/>
    <s v="teodoro juarez"/>
    <m/>
    <x v="0"/>
    <s v="Male"/>
    <x v="2"/>
    <s v="First Time"/>
    <x v="1"/>
    <s v="Excellent"/>
    <s v="Excellent"/>
    <n v="10"/>
    <s v="Yes, rewards/loyalty program"/>
    <m/>
  </r>
  <r>
    <n v="18"/>
    <d v="2026-04-09T13:18:41"/>
    <d v="2026-04-09T13:19:35"/>
    <d v="1899-12-30T00:00:54"/>
    <s v="aosorio@my.yearupunited.org"/>
    <s v="angel osorio"/>
    <m/>
    <x v="0"/>
    <s v="Male"/>
    <x v="1"/>
    <s v="First Time"/>
    <x v="0"/>
    <s v="Good"/>
    <s v="Average"/>
    <n v="7"/>
    <s v="Yes, rewards/loyalty program"/>
    <s v="Increased menu items"/>
  </r>
  <r>
    <n v="19"/>
    <d v="2026-04-09T13:36:36"/>
    <d v="2026-04-09T13:37:02"/>
    <d v="1899-12-30T00:00:26"/>
    <s v="cugur@my.yearupunited.org"/>
    <s v="ceyhun ugur"/>
    <m/>
    <x v="1"/>
    <s v="Male"/>
    <x v="2"/>
    <s v="First Time"/>
    <x v="1"/>
    <s v="Good"/>
    <s v="Excellent"/>
    <n v="8"/>
    <s v="Both"/>
    <m/>
  </r>
  <r>
    <n v="20"/>
    <d v="2026-04-09T13:40:18"/>
    <d v="2026-04-09T13:40:59"/>
    <d v="1899-12-30T00:00:41"/>
    <s v="ktesema@my.yearupunited.org"/>
    <s v="kidus tesema"/>
    <m/>
    <x v="0"/>
    <s v="Male"/>
    <x v="2"/>
    <s v="Weekly"/>
    <x v="1"/>
    <s v="Excellent"/>
    <s v="Excellent"/>
    <n v="10"/>
    <s v="Yes, rewards/loyalty program"/>
    <m/>
  </r>
  <r>
    <n v="21"/>
    <d v="2026-04-09T13:43:44"/>
    <d v="2026-04-09T13:44:40"/>
    <d v="1899-12-30T00:00:56"/>
    <s v="msaeday@my.yearupunited.org"/>
    <s v="mina saeday"/>
    <m/>
    <x v="0"/>
    <s v="Female"/>
    <x v="3"/>
    <s v="First Time"/>
    <x v="1"/>
    <s v="Excellent"/>
    <s v="Excellent"/>
    <n v="10"/>
    <s v="Both"/>
    <m/>
  </r>
  <r>
    <n v="22"/>
    <d v="2026-04-09T13:52:19"/>
    <d v="2026-04-09T13:52:42"/>
    <d v="1899-12-30T00:00:23"/>
    <s v="wpoindexter@my.yearupunited.org"/>
    <s v="william poindexter"/>
    <m/>
    <x v="1"/>
    <s v="Male"/>
    <x v="2"/>
    <s v="First Time"/>
    <x v="3"/>
    <s v="Excellent"/>
    <s v="Excellent"/>
    <n v="8"/>
    <s v="Yes, rewards/loyalty program"/>
    <m/>
  </r>
  <r>
    <n v="23"/>
    <d v="2026-04-09T13:52:09"/>
    <d v="2026-04-09T13:53:01"/>
    <d v="1899-12-30T00:00:52"/>
    <s v="rmengesha@my.yearupunited.org"/>
    <s v="rmengesha@my.yearupunited.org"/>
    <m/>
    <x v="0"/>
    <s v="Female"/>
    <x v="2"/>
    <s v="First Time"/>
    <x v="1"/>
    <s v="Average"/>
    <s v="Good"/>
    <n v="8"/>
    <s v="Yes, rewards/loyalty program"/>
    <s v="vegan options"/>
  </r>
  <r>
    <n v="24"/>
    <d v="2026-04-09T13:55:27"/>
    <d v="2026-04-09T13:56:07"/>
    <d v="1899-12-30T00:00:40"/>
    <s v="gmutize@my.yearupunited.org"/>
    <s v="godknows mutize"/>
    <m/>
    <x v="1"/>
    <s v="Male"/>
    <x v="0"/>
    <s v="Occasionally"/>
    <x v="0"/>
    <s v="Excellent"/>
    <s v="Good"/>
    <n v="10"/>
    <s v="Both"/>
    <m/>
  </r>
  <r>
    <n v="25"/>
    <d v="2026-04-09T14:11:28"/>
    <d v="2026-04-09T14:11:39"/>
    <d v="1899-12-30T00:00:11"/>
    <s v="lpham1@my.yearupunited.org"/>
    <s v="longley pham"/>
    <m/>
    <x v="1"/>
    <s v="Male"/>
    <x v="4"/>
    <m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3DE2C-D5ED-7949-B504-5294481F555C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17">
    <pivotField showAll="0"/>
    <pivotField numFmtId="165" showAll="0"/>
    <pivotField numFmtId="165" showAll="0"/>
    <pivotField numFmtId="45"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4F13E-E72F-5242-92DD-FA713CF75B8A}" name="PivotTable1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1:B37" firstHeaderRow="1" firstDataRow="1" firstDataCol="1"/>
  <pivotFields count="17">
    <pivotField showAll="0"/>
    <pivotField numFmtId="165" showAll="0"/>
    <pivotField numFmtId="165" showAll="0"/>
    <pivotField numFmtId="45"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9"/>
    <field x="11"/>
  </rowFields>
  <rowItems count="16">
    <i>
      <x/>
    </i>
    <i r="1">
      <x v="1"/>
    </i>
    <i>
      <x v="1"/>
    </i>
    <i r="1">
      <x/>
    </i>
    <i r="1">
      <x v="1"/>
    </i>
    <i r="1">
      <x v="2"/>
    </i>
    <i r="1">
      <x v="3"/>
    </i>
    <i>
      <x v="2"/>
    </i>
    <i r="1">
      <x v="1"/>
    </i>
    <i r="1">
      <x v="3"/>
    </i>
    <i>
      <x v="3"/>
    </i>
    <i r="1">
      <x v="1"/>
    </i>
    <i r="1">
      <x v="3"/>
    </i>
    <i>
      <x v="4"/>
    </i>
    <i r="1">
      <x v="4"/>
    </i>
    <i t="grand">
      <x/>
    </i>
  </rowItems>
  <colItems count="1">
    <i/>
  </colItems>
  <dataFields count="1">
    <dataField name="Sum of How likely are you to return to our restaurant?" fld="14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1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1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1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1" count="1" selected="0">
            <x v="3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7" totalsRowCount="1">
  <autoFilter ref="A1:Q26" xr:uid="{00000000-0009-0000-0100-000001000000}"/>
  <tableColumns count="17">
    <tableColumn id="1" xr3:uid="{00000000-0010-0000-0000-000001000000}" name="ID" dataDxfId="20"/>
    <tableColumn id="2" xr3:uid="{00000000-0010-0000-0000-000002000000}" name="Start time" dataDxfId="19" totalsRowDxfId="3"/>
    <tableColumn id="3" xr3:uid="{00000000-0010-0000-0000-000003000000}" name="Completion time" dataDxfId="18" totalsRowDxfId="2"/>
    <tableColumn id="17" xr3:uid="{07F1E1E5-4E03-5E45-B624-5B37C22604C9}" name="Time to Complete" dataDxfId="17" totalsRowDxfId="1">
      <calculatedColumnFormula>C2-B2</calculatedColumnFormula>
    </tableColumn>
    <tableColumn id="4" xr3:uid="{00000000-0010-0000-0000-000004000000}" name="Email" dataDxfId="16"/>
    <tableColumn id="5" xr3:uid="{00000000-0010-0000-0000-000005000000}" name="Name" dataDxfId="15"/>
    <tableColumn id="6" xr3:uid="{00000000-0010-0000-0000-000006000000}" name="Last modified time" dataDxfId="14" totalsRowDxfId="0"/>
    <tableColumn id="7" xr3:uid="{00000000-0010-0000-0000-000007000000}" name="What is your age?" dataDxfId="13"/>
    <tableColumn id="8" xr3:uid="{00000000-0010-0000-0000-000008000000}" name="What is your gender?" dataDxfId="12"/>
    <tableColumn id="9" xr3:uid="{00000000-0010-0000-0000-000009000000}" name="Where are you visiting from?" dataDxfId="11"/>
    <tableColumn id="10" xr3:uid="{00000000-0010-0000-0000-00000A000000}" name="How often do you visit our restaurant?" dataDxfId="10"/>
    <tableColumn id="11" xr3:uid="{00000000-0010-0000-0000-00000B000000}" name="Food" dataDxfId="9"/>
    <tableColumn id="12" xr3:uid="{00000000-0010-0000-0000-00000C000000}" name="Service" dataDxfId="8"/>
    <tableColumn id="13" xr3:uid="{00000000-0010-0000-0000-00000D000000}" name="Atmosphere" dataDxfId="7"/>
    <tableColumn id="14" xr3:uid="{00000000-0010-0000-0000-00000E000000}" name="How likely are you to return to our restaurant?" totalsRowFunction="custom" dataDxfId="6">
      <totalsRowFormula>AVERAGE(Table1[How likely are you to return to our restaurant?])</totalsRowFormula>
    </tableColumn>
    <tableColumn id="15" xr3:uid="{00000000-0010-0000-0000-00000F000000}" name="Would you be interested in a rewards program or special promotions?" dataDxfId="5"/>
    <tableColumn id="16" xr3:uid="{00000000-0010-0000-0000-000010000000}" name="Is there anything we could improve? (optional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4F6A-4C2A-BC4D-A46D-CA6B7DE9BC8F}">
  <dimension ref="A1:B37"/>
  <sheetViews>
    <sheetView workbookViewId="0">
      <selection activeCell="M36" sqref="M36"/>
    </sheetView>
  </sheetViews>
  <sheetFormatPr baseColWidth="10" defaultRowHeight="15" x14ac:dyDescent="0.2"/>
  <cols>
    <col min="1" max="1" width="13.33203125" bestFit="1" customWidth="1"/>
    <col min="2" max="2" width="43.1640625" bestFit="1" customWidth="1"/>
  </cols>
  <sheetData>
    <row r="1" spans="1:2" x14ac:dyDescent="0.2">
      <c r="A1" s="4" t="s">
        <v>94</v>
      </c>
      <c r="B1" t="s">
        <v>93</v>
      </c>
    </row>
    <row r="2" spans="1:2" x14ac:dyDescent="0.2">
      <c r="A2" s="5" t="s">
        <v>18</v>
      </c>
      <c r="B2">
        <v>10</v>
      </c>
    </row>
    <row r="3" spans="1:2" x14ac:dyDescent="0.2">
      <c r="A3" s="5" t="s">
        <v>26</v>
      </c>
      <c r="B3">
        <v>14</v>
      </c>
    </row>
    <row r="4" spans="1:2" x14ac:dyDescent="0.2">
      <c r="A4" s="5" t="s">
        <v>49</v>
      </c>
      <c r="B4">
        <v>1</v>
      </c>
    </row>
    <row r="5" spans="1:2" x14ac:dyDescent="0.2">
      <c r="A5" s="5" t="s">
        <v>95</v>
      </c>
      <c r="B5">
        <v>25</v>
      </c>
    </row>
    <row r="21" spans="1:2" x14ac:dyDescent="0.2">
      <c r="A21" s="4" t="s">
        <v>94</v>
      </c>
      <c r="B21" t="s">
        <v>97</v>
      </c>
    </row>
    <row r="22" spans="1:2" x14ac:dyDescent="0.2">
      <c r="A22" s="5" t="s">
        <v>83</v>
      </c>
      <c r="B22">
        <v>10</v>
      </c>
    </row>
    <row r="23" spans="1:2" x14ac:dyDescent="0.2">
      <c r="A23" s="6" t="s">
        <v>24</v>
      </c>
      <c r="B23">
        <v>10</v>
      </c>
    </row>
    <row r="24" spans="1:2" x14ac:dyDescent="0.2">
      <c r="A24" s="5" t="s">
        <v>38</v>
      </c>
      <c r="B24">
        <v>116</v>
      </c>
    </row>
    <row r="25" spans="1:2" x14ac:dyDescent="0.2">
      <c r="A25" s="6" t="s">
        <v>23</v>
      </c>
      <c r="B25">
        <v>8</v>
      </c>
    </row>
    <row r="26" spans="1:2" x14ac:dyDescent="0.2">
      <c r="A26" s="6" t="s">
        <v>24</v>
      </c>
      <c r="B26">
        <v>62</v>
      </c>
    </row>
    <row r="27" spans="1:2" x14ac:dyDescent="0.2">
      <c r="A27" s="6" t="s">
        <v>47</v>
      </c>
      <c r="B27">
        <v>6</v>
      </c>
    </row>
    <row r="28" spans="1:2" x14ac:dyDescent="0.2">
      <c r="A28" s="6" t="s">
        <v>22</v>
      </c>
      <c r="B28">
        <v>40</v>
      </c>
    </row>
    <row r="29" spans="1:2" x14ac:dyDescent="0.2">
      <c r="A29" s="5" t="s">
        <v>20</v>
      </c>
      <c r="B29">
        <v>41</v>
      </c>
    </row>
    <row r="30" spans="1:2" x14ac:dyDescent="0.2">
      <c r="A30" s="6" t="s">
        <v>24</v>
      </c>
      <c r="B30">
        <v>16</v>
      </c>
    </row>
    <row r="31" spans="1:2" x14ac:dyDescent="0.2">
      <c r="A31" s="6" t="s">
        <v>22</v>
      </c>
      <c r="B31">
        <v>25</v>
      </c>
    </row>
    <row r="32" spans="1:2" x14ac:dyDescent="0.2">
      <c r="A32" s="5" t="s">
        <v>28</v>
      </c>
      <c r="B32">
        <v>32</v>
      </c>
    </row>
    <row r="33" spans="1:2" x14ac:dyDescent="0.2">
      <c r="A33" s="6" t="s">
        <v>24</v>
      </c>
      <c r="B33">
        <v>10</v>
      </c>
    </row>
    <row r="34" spans="1:2" x14ac:dyDescent="0.2">
      <c r="A34" s="6" t="s">
        <v>22</v>
      </c>
      <c r="B34">
        <v>22</v>
      </c>
    </row>
    <row r="35" spans="1:2" x14ac:dyDescent="0.2">
      <c r="A35" s="5" t="s">
        <v>96</v>
      </c>
    </row>
    <row r="36" spans="1:2" x14ac:dyDescent="0.2">
      <c r="A36" s="6" t="s">
        <v>96</v>
      </c>
    </row>
    <row r="37" spans="1:2" x14ac:dyDescent="0.2">
      <c r="A37" s="5" t="s">
        <v>95</v>
      </c>
      <c r="B37">
        <v>199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topLeftCell="K1" workbookViewId="0">
      <selection activeCell="C29" sqref="C29"/>
    </sheetView>
  </sheetViews>
  <sheetFormatPr baseColWidth="10" defaultColWidth="8.83203125" defaultRowHeight="15" x14ac:dyDescent="0.2"/>
  <cols>
    <col min="1" max="1" width="20" bestFit="1" customWidth="1"/>
    <col min="2" max="3" width="20" style="2" bestFit="1" customWidth="1"/>
    <col min="4" max="4" width="20" style="3" customWidth="1"/>
    <col min="5" max="5" width="28" customWidth="1"/>
    <col min="6" max="6" width="27.33203125" customWidth="1"/>
    <col min="7" max="9" width="20" bestFit="1" customWidth="1"/>
    <col min="10" max="10" width="26.5" customWidth="1"/>
    <col min="11" max="11" width="36.33203125" customWidth="1"/>
    <col min="12" max="14" width="20" bestFit="1" customWidth="1"/>
    <col min="15" max="15" width="38.33203125" customWidth="1"/>
    <col min="16" max="16" width="56.83203125" customWidth="1"/>
    <col min="17" max="17" width="42.6640625" customWidth="1"/>
  </cols>
  <sheetData>
    <row r="1" spans="1:17" x14ac:dyDescent="0.2">
      <c r="A1" t="s">
        <v>0</v>
      </c>
      <c r="B1" s="2" t="s">
        <v>1</v>
      </c>
      <c r="C1" s="2" t="s">
        <v>2</v>
      </c>
      <c r="D1" s="3" t="s">
        <v>92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1</v>
      </c>
      <c r="B2" s="2">
        <v>46119.801203703697</v>
      </c>
      <c r="C2" s="2">
        <v>46119.801840277803</v>
      </c>
      <c r="D2" s="3">
        <f t="shared" ref="D2:D26" si="0">C2-B2</f>
        <v>6.3657410646555945E-4</v>
      </c>
      <c r="E2" t="s">
        <v>16</v>
      </c>
      <c r="F2" t="s">
        <v>17</v>
      </c>
      <c r="G2" s="1"/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>
        <v>6</v>
      </c>
      <c r="P2" t="s">
        <v>25</v>
      </c>
    </row>
    <row r="3" spans="1:17" x14ac:dyDescent="0.2">
      <c r="A3">
        <v>2</v>
      </c>
      <c r="B3" s="2">
        <v>46119.839270833298</v>
      </c>
      <c r="C3" s="2">
        <v>46119.839918981503</v>
      </c>
      <c r="D3" s="3">
        <f t="shared" si="0"/>
        <v>6.4814820507308468E-4</v>
      </c>
      <c r="E3" t="s">
        <v>16</v>
      </c>
      <c r="F3" t="s">
        <v>17</v>
      </c>
      <c r="G3" s="1"/>
      <c r="H3" t="s">
        <v>26</v>
      </c>
      <c r="I3" t="s">
        <v>27</v>
      </c>
      <c r="J3" t="s">
        <v>28</v>
      </c>
      <c r="K3" t="s">
        <v>21</v>
      </c>
      <c r="L3" t="s">
        <v>22</v>
      </c>
      <c r="M3" t="s">
        <v>22</v>
      </c>
      <c r="N3" t="s">
        <v>24</v>
      </c>
      <c r="O3">
        <v>9</v>
      </c>
      <c r="P3" t="s">
        <v>29</v>
      </c>
    </row>
    <row r="4" spans="1:17" x14ac:dyDescent="0.2">
      <c r="A4">
        <v>3</v>
      </c>
      <c r="B4" s="2">
        <v>46120.436087962997</v>
      </c>
      <c r="C4" s="2">
        <v>46120.436527777798</v>
      </c>
      <c r="D4" s="3">
        <f t="shared" si="0"/>
        <v>4.3981480121146888E-4</v>
      </c>
      <c r="E4" t="s">
        <v>30</v>
      </c>
      <c r="F4" t="s">
        <v>31</v>
      </c>
      <c r="G4" s="1"/>
      <c r="H4" t="s">
        <v>26</v>
      </c>
      <c r="I4" t="s">
        <v>27</v>
      </c>
      <c r="J4" t="s">
        <v>20</v>
      </c>
      <c r="K4" t="s">
        <v>21</v>
      </c>
      <c r="L4" t="s">
        <v>24</v>
      </c>
      <c r="M4" t="s">
        <v>22</v>
      </c>
      <c r="N4" t="s">
        <v>22</v>
      </c>
      <c r="O4">
        <v>8</v>
      </c>
      <c r="P4" t="s">
        <v>32</v>
      </c>
    </row>
    <row r="5" spans="1:17" x14ac:dyDescent="0.2">
      <c r="A5">
        <v>4</v>
      </c>
      <c r="B5" s="2">
        <v>46120.641990740703</v>
      </c>
      <c r="C5" s="2">
        <v>46120.6433217593</v>
      </c>
      <c r="D5" s="3">
        <f t="shared" si="0"/>
        <v>1.3310185968293808E-3</v>
      </c>
      <c r="E5" t="s">
        <v>33</v>
      </c>
      <c r="F5" t="s">
        <v>34</v>
      </c>
      <c r="G5" s="1"/>
      <c r="H5" t="s">
        <v>26</v>
      </c>
      <c r="I5" t="s">
        <v>19</v>
      </c>
      <c r="J5" t="s">
        <v>20</v>
      </c>
      <c r="K5" t="s">
        <v>21</v>
      </c>
      <c r="L5" t="s">
        <v>24</v>
      </c>
      <c r="M5" t="s">
        <v>23</v>
      </c>
      <c r="N5" t="s">
        <v>22</v>
      </c>
      <c r="O5">
        <v>8</v>
      </c>
      <c r="P5" t="s">
        <v>25</v>
      </c>
      <c r="Q5" t="s">
        <v>35</v>
      </c>
    </row>
    <row r="6" spans="1:17" x14ac:dyDescent="0.2">
      <c r="A6">
        <v>5</v>
      </c>
      <c r="B6" s="2">
        <v>46120.644594907397</v>
      </c>
      <c r="C6" s="2">
        <v>46120.645185185203</v>
      </c>
      <c r="D6" s="3">
        <f t="shared" si="0"/>
        <v>5.9027780662290752E-4</v>
      </c>
      <c r="E6" t="s">
        <v>36</v>
      </c>
      <c r="F6" t="s">
        <v>37</v>
      </c>
      <c r="G6" s="1"/>
      <c r="H6" t="s">
        <v>26</v>
      </c>
      <c r="I6" t="s">
        <v>19</v>
      </c>
      <c r="J6" t="s">
        <v>38</v>
      </c>
      <c r="K6" t="s">
        <v>21</v>
      </c>
      <c r="L6" t="s">
        <v>24</v>
      </c>
      <c r="M6" t="s">
        <v>22</v>
      </c>
      <c r="N6" t="s">
        <v>22</v>
      </c>
      <c r="O6">
        <v>8</v>
      </c>
      <c r="P6" t="s">
        <v>25</v>
      </c>
    </row>
    <row r="7" spans="1:17" x14ac:dyDescent="0.2">
      <c r="A7">
        <v>6</v>
      </c>
      <c r="B7" s="2">
        <v>46120.644062500003</v>
      </c>
      <c r="C7" s="2">
        <v>46120.647407407399</v>
      </c>
      <c r="D7" s="3">
        <f t="shared" si="0"/>
        <v>3.3449073962401599E-3</v>
      </c>
      <c r="E7" t="s">
        <v>39</v>
      </c>
      <c r="F7" t="s">
        <v>40</v>
      </c>
      <c r="G7" s="1"/>
      <c r="H7" t="s">
        <v>26</v>
      </c>
      <c r="I7" t="s">
        <v>19</v>
      </c>
      <c r="J7" t="s">
        <v>28</v>
      </c>
      <c r="K7" t="s">
        <v>21</v>
      </c>
      <c r="L7" t="s">
        <v>22</v>
      </c>
      <c r="M7" t="s">
        <v>23</v>
      </c>
      <c r="N7" t="s">
        <v>24</v>
      </c>
      <c r="O7">
        <v>6</v>
      </c>
      <c r="P7" t="s">
        <v>32</v>
      </c>
      <c r="Q7" t="s">
        <v>41</v>
      </c>
    </row>
    <row r="8" spans="1:17" x14ac:dyDescent="0.2">
      <c r="A8">
        <v>7</v>
      </c>
      <c r="B8" s="2">
        <v>46120.740729166697</v>
      </c>
      <c r="C8" s="2">
        <v>46120.741342592599</v>
      </c>
      <c r="D8" s="3">
        <f t="shared" si="0"/>
        <v>6.1342590197455138E-4</v>
      </c>
      <c r="E8" t="s">
        <v>42</v>
      </c>
      <c r="F8" t="s">
        <v>43</v>
      </c>
      <c r="G8" s="1"/>
      <c r="H8" t="s">
        <v>26</v>
      </c>
      <c r="I8" t="s">
        <v>19</v>
      </c>
      <c r="J8" t="s">
        <v>38</v>
      </c>
      <c r="K8" t="s">
        <v>21</v>
      </c>
      <c r="L8" t="s">
        <v>22</v>
      </c>
      <c r="M8" t="s">
        <v>22</v>
      </c>
      <c r="N8" t="s">
        <v>22</v>
      </c>
      <c r="O8">
        <v>8</v>
      </c>
      <c r="P8" t="s">
        <v>25</v>
      </c>
      <c r="Q8" t="s">
        <v>44</v>
      </c>
    </row>
    <row r="9" spans="1:17" x14ac:dyDescent="0.2">
      <c r="A9">
        <v>8</v>
      </c>
      <c r="B9" s="2">
        <v>46120.820868055598</v>
      </c>
      <c r="C9" s="2">
        <v>46120.821608796301</v>
      </c>
      <c r="D9" s="3">
        <f t="shared" si="0"/>
        <v>7.4074070289498195E-4</v>
      </c>
      <c r="E9" t="s">
        <v>45</v>
      </c>
      <c r="F9" t="s">
        <v>46</v>
      </c>
      <c r="G9" s="1"/>
      <c r="H9" t="s">
        <v>26</v>
      </c>
      <c r="I9" t="s">
        <v>19</v>
      </c>
      <c r="J9" t="s">
        <v>38</v>
      </c>
      <c r="K9" t="s">
        <v>21</v>
      </c>
      <c r="L9" t="s">
        <v>47</v>
      </c>
      <c r="M9" t="s">
        <v>48</v>
      </c>
      <c r="N9" t="s">
        <v>23</v>
      </c>
      <c r="O9">
        <v>6</v>
      </c>
      <c r="P9" t="s">
        <v>25</v>
      </c>
    </row>
    <row r="10" spans="1:17" x14ac:dyDescent="0.2">
      <c r="A10">
        <v>9</v>
      </c>
      <c r="B10" s="2">
        <v>46120.831956018497</v>
      </c>
      <c r="C10" s="2">
        <v>46120.832581018498</v>
      </c>
      <c r="D10" s="3">
        <f t="shared" si="0"/>
        <v>6.2500000058207661E-4</v>
      </c>
      <c r="E10" t="s">
        <v>16</v>
      </c>
      <c r="F10" t="s">
        <v>17</v>
      </c>
      <c r="G10" s="1"/>
      <c r="H10" t="s">
        <v>49</v>
      </c>
      <c r="I10" t="s">
        <v>50</v>
      </c>
      <c r="J10" t="s">
        <v>38</v>
      </c>
      <c r="K10" t="s">
        <v>51</v>
      </c>
      <c r="L10" t="s">
        <v>22</v>
      </c>
      <c r="M10" t="s">
        <v>23</v>
      </c>
      <c r="N10" t="s">
        <v>24</v>
      </c>
      <c r="O10">
        <v>9</v>
      </c>
      <c r="P10" t="s">
        <v>52</v>
      </c>
    </row>
    <row r="11" spans="1:17" x14ac:dyDescent="0.2">
      <c r="A11">
        <v>10</v>
      </c>
      <c r="B11" s="2">
        <v>46120.896574074097</v>
      </c>
      <c r="C11" s="2">
        <v>46120.8973148148</v>
      </c>
      <c r="D11" s="3">
        <f t="shared" si="0"/>
        <v>7.4074070289498195E-4</v>
      </c>
      <c r="E11" t="s">
        <v>53</v>
      </c>
      <c r="F11" t="s">
        <v>54</v>
      </c>
      <c r="G11" s="1"/>
      <c r="H11" t="s">
        <v>18</v>
      </c>
      <c r="I11" t="s">
        <v>19</v>
      </c>
      <c r="J11" t="s">
        <v>28</v>
      </c>
      <c r="K11" t="s">
        <v>55</v>
      </c>
      <c r="L11" t="s">
        <v>24</v>
      </c>
      <c r="M11" t="s">
        <v>24</v>
      </c>
      <c r="N11" t="s">
        <v>24</v>
      </c>
      <c r="O11">
        <v>10</v>
      </c>
      <c r="P11" t="s">
        <v>25</v>
      </c>
      <c r="Q11" t="s">
        <v>56</v>
      </c>
    </row>
    <row r="12" spans="1:17" x14ac:dyDescent="0.2">
      <c r="A12">
        <v>11</v>
      </c>
      <c r="B12" s="2">
        <v>46121.390960648103</v>
      </c>
      <c r="C12" s="2">
        <v>46121.391562500001</v>
      </c>
      <c r="D12" s="3">
        <f t="shared" si="0"/>
        <v>6.0185189795447513E-4</v>
      </c>
      <c r="E12" t="s">
        <v>57</v>
      </c>
      <c r="F12" t="s">
        <v>58</v>
      </c>
      <c r="G12" s="1"/>
      <c r="H12" t="s">
        <v>18</v>
      </c>
      <c r="I12" t="s">
        <v>27</v>
      </c>
      <c r="J12" t="s">
        <v>38</v>
      </c>
      <c r="K12" t="s">
        <v>21</v>
      </c>
      <c r="L12" t="s">
        <v>22</v>
      </c>
      <c r="M12" t="s">
        <v>24</v>
      </c>
      <c r="N12" t="s">
        <v>23</v>
      </c>
      <c r="O12">
        <v>8</v>
      </c>
      <c r="P12" t="s">
        <v>29</v>
      </c>
    </row>
    <row r="13" spans="1:17" x14ac:dyDescent="0.2">
      <c r="A13">
        <v>12</v>
      </c>
      <c r="B13" s="2">
        <v>46120.639780092599</v>
      </c>
      <c r="C13" s="2">
        <v>46121.470439814802</v>
      </c>
      <c r="D13" s="3">
        <f t="shared" si="0"/>
        <v>0.83065972220356343</v>
      </c>
      <c r="E13" t="s">
        <v>59</v>
      </c>
      <c r="F13" t="s">
        <v>60</v>
      </c>
      <c r="G13" s="1"/>
      <c r="H13" t="s">
        <v>26</v>
      </c>
      <c r="I13" t="s">
        <v>19</v>
      </c>
      <c r="J13" t="s">
        <v>38</v>
      </c>
      <c r="K13" t="s">
        <v>21</v>
      </c>
      <c r="L13" t="s">
        <v>24</v>
      </c>
      <c r="M13" t="s">
        <v>24</v>
      </c>
      <c r="N13" t="s">
        <v>22</v>
      </c>
      <c r="O13">
        <v>9</v>
      </c>
      <c r="P13" t="s">
        <v>52</v>
      </c>
    </row>
    <row r="14" spans="1:17" x14ac:dyDescent="0.2">
      <c r="A14">
        <v>13</v>
      </c>
      <c r="B14" s="2">
        <v>46121.4696527778</v>
      </c>
      <c r="C14" s="2">
        <v>46121.471122685201</v>
      </c>
      <c r="D14" s="3">
        <f t="shared" si="0"/>
        <v>1.4699074017698877E-3</v>
      </c>
      <c r="E14" t="s">
        <v>61</v>
      </c>
      <c r="F14" t="s">
        <v>62</v>
      </c>
      <c r="G14" s="1"/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 t="s">
        <v>24</v>
      </c>
      <c r="N14" t="s">
        <v>22</v>
      </c>
      <c r="O14">
        <v>9</v>
      </c>
      <c r="P14" t="s">
        <v>52</v>
      </c>
      <c r="Q14" t="s">
        <v>63</v>
      </c>
    </row>
    <row r="15" spans="1:17" x14ac:dyDescent="0.2">
      <c r="A15">
        <v>14</v>
      </c>
      <c r="B15" s="2">
        <v>46121.482384259303</v>
      </c>
      <c r="C15" s="2">
        <v>46121.486412036997</v>
      </c>
      <c r="D15" s="3">
        <f t="shared" si="0"/>
        <v>4.027777693409007E-3</v>
      </c>
      <c r="E15" t="s">
        <v>64</v>
      </c>
      <c r="F15" t="s">
        <v>65</v>
      </c>
      <c r="G15" s="1"/>
      <c r="H15" t="s">
        <v>26</v>
      </c>
      <c r="I15" t="s">
        <v>19</v>
      </c>
      <c r="J15" t="s">
        <v>38</v>
      </c>
      <c r="K15" t="s">
        <v>21</v>
      </c>
      <c r="L15" t="s">
        <v>22</v>
      </c>
      <c r="M15" t="s">
        <v>24</v>
      </c>
      <c r="N15" t="s">
        <v>22</v>
      </c>
      <c r="O15">
        <v>8</v>
      </c>
      <c r="P15" t="s">
        <v>32</v>
      </c>
      <c r="Q15" t="s">
        <v>66</v>
      </c>
    </row>
    <row r="16" spans="1:17" x14ac:dyDescent="0.2">
      <c r="A16">
        <v>15</v>
      </c>
      <c r="B16" s="2">
        <v>46121.545196759304</v>
      </c>
      <c r="C16" s="2">
        <v>46121.5463310185</v>
      </c>
      <c r="D16" s="3">
        <f t="shared" si="0"/>
        <v>1.1342591969878413E-3</v>
      </c>
      <c r="E16" t="s">
        <v>67</v>
      </c>
      <c r="F16" t="s">
        <v>68</v>
      </c>
      <c r="G16" s="1"/>
      <c r="H16" t="s">
        <v>26</v>
      </c>
      <c r="I16" t="s">
        <v>27</v>
      </c>
      <c r="J16" t="s">
        <v>38</v>
      </c>
      <c r="K16" t="s">
        <v>21</v>
      </c>
      <c r="L16" t="s">
        <v>22</v>
      </c>
      <c r="M16" t="s">
        <v>22</v>
      </c>
      <c r="N16" t="s">
        <v>22</v>
      </c>
      <c r="O16">
        <v>7</v>
      </c>
      <c r="P16" t="s">
        <v>25</v>
      </c>
    </row>
    <row r="17" spans="1:17" x14ac:dyDescent="0.2">
      <c r="A17">
        <v>16</v>
      </c>
      <c r="B17" s="2">
        <v>46121.5484027778</v>
      </c>
      <c r="C17" s="2">
        <v>46121.548726851797</v>
      </c>
      <c r="D17" s="3">
        <f t="shared" si="0"/>
        <v>3.2407399703515694E-4</v>
      </c>
      <c r="E17" t="s">
        <v>69</v>
      </c>
      <c r="F17" t="s">
        <v>70</v>
      </c>
      <c r="G17" s="1"/>
      <c r="H17" t="s">
        <v>18</v>
      </c>
      <c r="I17" t="s">
        <v>27</v>
      </c>
      <c r="J17" t="s">
        <v>38</v>
      </c>
      <c r="K17" t="s">
        <v>55</v>
      </c>
      <c r="L17" t="s">
        <v>24</v>
      </c>
      <c r="M17" t="s">
        <v>22</v>
      </c>
      <c r="N17" t="s">
        <v>22</v>
      </c>
      <c r="O17">
        <v>9</v>
      </c>
      <c r="P17" t="s">
        <v>29</v>
      </c>
    </row>
    <row r="18" spans="1:17" x14ac:dyDescent="0.2">
      <c r="A18">
        <v>17</v>
      </c>
      <c r="B18" s="2">
        <v>46121.547199074099</v>
      </c>
      <c r="C18" s="2">
        <v>46121.550671296303</v>
      </c>
      <c r="D18" s="3">
        <f t="shared" si="0"/>
        <v>3.4722222044365481E-3</v>
      </c>
      <c r="E18" t="s">
        <v>71</v>
      </c>
      <c r="F18" t="s">
        <v>72</v>
      </c>
      <c r="G18" s="1"/>
      <c r="H18" t="s">
        <v>18</v>
      </c>
      <c r="I18" t="s">
        <v>27</v>
      </c>
      <c r="J18" t="s">
        <v>38</v>
      </c>
      <c r="K18" t="s">
        <v>21</v>
      </c>
      <c r="L18" t="s">
        <v>24</v>
      </c>
      <c r="M18" t="s">
        <v>24</v>
      </c>
      <c r="N18" t="s">
        <v>24</v>
      </c>
      <c r="O18">
        <v>10</v>
      </c>
      <c r="P18" t="s">
        <v>52</v>
      </c>
    </row>
    <row r="19" spans="1:17" x14ac:dyDescent="0.2">
      <c r="A19">
        <v>18</v>
      </c>
      <c r="B19" s="2">
        <v>46121.5546412037</v>
      </c>
      <c r="C19" s="2">
        <v>46121.555266203701</v>
      </c>
      <c r="D19" s="3">
        <f t="shared" si="0"/>
        <v>6.2500000058207661E-4</v>
      </c>
      <c r="E19" t="s">
        <v>73</v>
      </c>
      <c r="F19" t="s">
        <v>74</v>
      </c>
      <c r="G19" s="1"/>
      <c r="H19" t="s">
        <v>18</v>
      </c>
      <c r="I19" t="s">
        <v>27</v>
      </c>
      <c r="J19" t="s">
        <v>28</v>
      </c>
      <c r="K19" t="s">
        <v>21</v>
      </c>
      <c r="L19" t="s">
        <v>22</v>
      </c>
      <c r="M19" t="s">
        <v>22</v>
      </c>
      <c r="N19" t="s">
        <v>23</v>
      </c>
      <c r="O19">
        <v>7</v>
      </c>
      <c r="P19" t="s">
        <v>52</v>
      </c>
      <c r="Q19" t="s">
        <v>75</v>
      </c>
    </row>
    <row r="20" spans="1:17" x14ac:dyDescent="0.2">
      <c r="A20">
        <v>19</v>
      </c>
      <c r="B20" s="2">
        <v>46121.567083333299</v>
      </c>
      <c r="C20" s="2">
        <v>46121.567384259302</v>
      </c>
      <c r="D20" s="3">
        <f t="shared" si="0"/>
        <v>3.0092600354691967E-4</v>
      </c>
      <c r="E20" t="s">
        <v>76</v>
      </c>
      <c r="F20" t="s">
        <v>77</v>
      </c>
      <c r="G20" s="1"/>
      <c r="H20" t="s">
        <v>26</v>
      </c>
      <c r="I20" t="s">
        <v>27</v>
      </c>
      <c r="J20" t="s">
        <v>38</v>
      </c>
      <c r="K20" t="s">
        <v>21</v>
      </c>
      <c r="L20" t="s">
        <v>24</v>
      </c>
      <c r="M20" t="s">
        <v>22</v>
      </c>
      <c r="N20" t="s">
        <v>24</v>
      </c>
      <c r="O20">
        <v>8</v>
      </c>
      <c r="P20" t="s">
        <v>25</v>
      </c>
    </row>
    <row r="21" spans="1:17" x14ac:dyDescent="0.2">
      <c r="A21">
        <v>20</v>
      </c>
      <c r="B21" s="2">
        <v>46121.569652777798</v>
      </c>
      <c r="C21" s="2">
        <v>46121.570127314801</v>
      </c>
      <c r="D21" s="3">
        <f t="shared" si="0"/>
        <v>4.7453700244659558E-4</v>
      </c>
      <c r="E21" t="s">
        <v>78</v>
      </c>
      <c r="F21" t="s">
        <v>79</v>
      </c>
      <c r="G21" s="1"/>
      <c r="H21" t="s">
        <v>18</v>
      </c>
      <c r="I21" t="s">
        <v>27</v>
      </c>
      <c r="J21" t="s">
        <v>38</v>
      </c>
      <c r="K21" t="s">
        <v>80</v>
      </c>
      <c r="L21" t="s">
        <v>24</v>
      </c>
      <c r="M21" t="s">
        <v>24</v>
      </c>
      <c r="N21" t="s">
        <v>24</v>
      </c>
      <c r="O21">
        <v>10</v>
      </c>
      <c r="P21" t="s">
        <v>52</v>
      </c>
    </row>
    <row r="22" spans="1:17" x14ac:dyDescent="0.2">
      <c r="A22">
        <v>21</v>
      </c>
      <c r="B22" s="2">
        <v>46121.572037037004</v>
      </c>
      <c r="C22" s="2">
        <v>46121.572685185201</v>
      </c>
      <c r="D22" s="3">
        <f t="shared" si="0"/>
        <v>6.4814819779712707E-4</v>
      </c>
      <c r="E22" t="s">
        <v>81</v>
      </c>
      <c r="F22" t="s">
        <v>82</v>
      </c>
      <c r="G22" s="1"/>
      <c r="H22" t="s">
        <v>18</v>
      </c>
      <c r="I22" t="s">
        <v>19</v>
      </c>
      <c r="J22" t="s">
        <v>83</v>
      </c>
      <c r="K22" t="s">
        <v>21</v>
      </c>
      <c r="L22" t="s">
        <v>24</v>
      </c>
      <c r="M22" t="s">
        <v>24</v>
      </c>
      <c r="N22" t="s">
        <v>24</v>
      </c>
      <c r="O22">
        <v>10</v>
      </c>
      <c r="P22" t="s">
        <v>25</v>
      </c>
    </row>
    <row r="23" spans="1:17" x14ac:dyDescent="0.2">
      <c r="A23">
        <v>22</v>
      </c>
      <c r="B23" s="2">
        <v>46121.577997685199</v>
      </c>
      <c r="C23" s="2">
        <v>46121.5782638889</v>
      </c>
      <c r="D23" s="3">
        <f t="shared" si="0"/>
        <v>2.6620370044838637E-4</v>
      </c>
      <c r="E23" t="s">
        <v>84</v>
      </c>
      <c r="F23" t="s">
        <v>85</v>
      </c>
      <c r="G23" s="1"/>
      <c r="H23" t="s">
        <v>26</v>
      </c>
      <c r="I23" t="s">
        <v>27</v>
      </c>
      <c r="J23" t="s">
        <v>38</v>
      </c>
      <c r="K23" t="s">
        <v>21</v>
      </c>
      <c r="L23" t="s">
        <v>23</v>
      </c>
      <c r="M23" t="s">
        <v>24</v>
      </c>
      <c r="N23" t="s">
        <v>24</v>
      </c>
      <c r="O23">
        <v>8</v>
      </c>
      <c r="P23" t="s">
        <v>52</v>
      </c>
    </row>
    <row r="24" spans="1:17" x14ac:dyDescent="0.2">
      <c r="A24">
        <v>23</v>
      </c>
      <c r="B24" s="2">
        <v>46121.577881944402</v>
      </c>
      <c r="C24" s="2">
        <v>46121.5784837963</v>
      </c>
      <c r="D24" s="3">
        <f t="shared" si="0"/>
        <v>6.0185189795447513E-4</v>
      </c>
      <c r="E24" t="s">
        <v>86</v>
      </c>
      <c r="F24" t="s">
        <v>86</v>
      </c>
      <c r="G24" s="1"/>
      <c r="H24" t="s">
        <v>18</v>
      </c>
      <c r="I24" t="s">
        <v>19</v>
      </c>
      <c r="J24" t="s">
        <v>38</v>
      </c>
      <c r="K24" t="s">
        <v>21</v>
      </c>
      <c r="L24" t="s">
        <v>24</v>
      </c>
      <c r="M24" t="s">
        <v>23</v>
      </c>
      <c r="N24" t="s">
        <v>22</v>
      </c>
      <c r="O24">
        <v>8</v>
      </c>
      <c r="P24" t="s">
        <v>52</v>
      </c>
      <c r="Q24" t="s">
        <v>87</v>
      </c>
    </row>
    <row r="25" spans="1:17" x14ac:dyDescent="0.2">
      <c r="A25">
        <v>24</v>
      </c>
      <c r="B25" s="2">
        <v>46121.580173611103</v>
      </c>
      <c r="C25" s="2">
        <v>46121.580636574101</v>
      </c>
      <c r="D25" s="3">
        <f t="shared" si="0"/>
        <v>4.6296299842651933E-4</v>
      </c>
      <c r="E25" t="s">
        <v>88</v>
      </c>
      <c r="F25" t="s">
        <v>89</v>
      </c>
      <c r="G25" s="1"/>
      <c r="H25" t="s">
        <v>26</v>
      </c>
      <c r="I25" t="s">
        <v>27</v>
      </c>
      <c r="J25" t="s">
        <v>20</v>
      </c>
      <c r="K25" t="s">
        <v>55</v>
      </c>
      <c r="L25" t="s">
        <v>22</v>
      </c>
      <c r="M25" t="s">
        <v>24</v>
      </c>
      <c r="N25" t="s">
        <v>22</v>
      </c>
      <c r="O25">
        <v>10</v>
      </c>
      <c r="P25" t="s">
        <v>25</v>
      </c>
    </row>
    <row r="26" spans="1:17" x14ac:dyDescent="0.2">
      <c r="A26">
        <v>25</v>
      </c>
      <c r="B26" s="2">
        <v>46121.591296296298</v>
      </c>
      <c r="C26" s="2">
        <v>46121.591423611098</v>
      </c>
      <c r="D26" s="3">
        <f t="shared" si="0"/>
        <v>1.2731480092043057E-4</v>
      </c>
      <c r="E26" t="s">
        <v>90</v>
      </c>
      <c r="F26" t="s">
        <v>91</v>
      </c>
      <c r="G26" s="1"/>
      <c r="H26" t="s">
        <v>26</v>
      </c>
      <c r="I26" t="s">
        <v>27</v>
      </c>
    </row>
    <row r="27" spans="1:17" x14ac:dyDescent="0.2">
      <c r="G27" s="1"/>
      <c r="O27">
        <f>AVERAGE(Table1[How likely are you to return to our restaurant?])</f>
        <v>8.2916666666666661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cagla celik</cp:lastModifiedBy>
  <dcterms:created xsi:type="dcterms:W3CDTF">2026-04-09T20:24:42Z</dcterms:created>
  <dcterms:modified xsi:type="dcterms:W3CDTF">2026-04-17T00:21:43Z</dcterms:modified>
</cp:coreProperties>
</file>