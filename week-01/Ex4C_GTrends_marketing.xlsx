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glacelik/Documents/DataAnalytics/week-01/"/>
    </mc:Choice>
  </mc:AlternateContent>
  <xr:revisionPtr revIDLastSave="0" documentId="13_ncr:1_{96022EA1-E2F4-F549-A6EE-0F05C356B3D1}" xr6:coauthVersionLast="47" xr6:coauthVersionMax="47" xr10:uidLastSave="{00000000-0000-0000-0000-000000000000}"/>
  <bookViews>
    <workbookView xWindow="0" yWindow="760" windowWidth="29400" windowHeight="16660" activeTab="2" xr2:uid="{640AF213-EAF6-5743-84B8-4D3C901C2E9C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<sst xmlns="http://schemas.openxmlformats.org/spreadsheetml/2006/main" count="154" uniqueCount="68">
  <si>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</si>
  <si>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</si>
  <si>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</si>
  <si>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</si>
  <si>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</si>
  <si>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</si>
  <si>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</si>
  <si>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</si>
  <si>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</si>
  <si>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</si>
  <si>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</si>
  <si>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</si>
  <si>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</si>
  <si>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</si>
  <si>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</si>
  <si>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</si>
  <si>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</si>
  <si>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</si>
  <si>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</si>
  <si>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</si>
  <si>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</si>
  <si>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</si>
  <si>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</si>
  <si>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</si>
  <si>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</si>
  <si>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</si>
  <si>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</si>
  <si>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</si>
  <si>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</si>
  <si>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</si>
  <si>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</si>
  <si>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</si>
  <si>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</si>
  <si>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</si>
  <si>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</si>
  <si>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</si>
  <si>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</si>
  <si>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</si>
  <si>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</si>
  <si>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</si>
  <si>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</si>
  <si>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</si>
  <si>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</si>
  <si>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</si>
  <si>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</si>
  <si>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</si>
  <si>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</si>
  <si>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</si>
  <si>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</si>
  <si>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</si>
  <si>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</si>
  <si>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</si>
  <si>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</si>
  <si>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</si>
  <si>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>Date Range</t>
  </si>
  <si>
    <t>(2/1/24 - 2/28/25)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</si>
  <si>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</si>
  <si>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</si>
  <si>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</si>
  <si>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</si>
  <si>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</si>
  <si>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</si>
  <si>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</si>
  <si>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(All)</t>
  </si>
  <si>
    <t>Row Labels</t>
  </si>
  <si>
    <t>Grand Total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</si>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</sst>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18" fillId="33" borderId="0" xfId="0" applyFont="1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095574787845397E-2"/>
          <c:y val="5.5846422338568937E-2"/>
          <c:w val="0.74275797158008305"/>
          <c:h val="0.772761677041678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0.68</c:v>
                </c:pt>
                <c:pt idx="3">
                  <c:v>0.73</c:v>
                </c:pt>
                <c:pt idx="4">
                  <c:v>0.7</c:v>
                </c:pt>
                <c:pt idx="5">
                  <c:v>0.7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7-FD45-8734-1731C50ED519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0.17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17-FD45-8734-1731C50ED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625504"/>
        <c:axId val="307506208"/>
      </c:barChart>
      <c:catAx>
        <c:axId val="30762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506208"/>
        <c:crosses val="autoZero"/>
        <c:auto val="1"/>
        <c:lblAlgn val="ctr"/>
        <c:lblOffset val="100"/>
        <c:noMultiLvlLbl val="0"/>
      </c:catAx>
      <c:valAx>
        <c:axId val="30750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62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273050</xdr:colOff>
      <xdr:row>12</xdr:row>
      <xdr:rowOff>12700</xdr:rowOff>
    </xdr:from>
    <xdr:to>
      <xdr:col>12</xdr:col>
      <xdr:colOff>203200</xdr:colOff>
      <xdr:row>29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75EDB-C8B3-286B-BDF0-2B80D7160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Çağla Çelik" refreshedDate="46120.413411458336" createdVersion="8" refreshedVersion="8" minRefreshableVersion="3" recordCount="10" xr:uid="{22A97531-75C5-F54E-A7BD-5C6A5ACA95D9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19"/>
  </r>
  <r>
    <x v="3"/>
    <x v="0"/>
    <n v="0.73"/>
    <n v="0.15"/>
  </r>
  <r>
    <x v="4"/>
    <x v="1"/>
    <n v="0.7"/>
    <n v="0.18"/>
  </r>
  <r>
    <x v="5"/>
    <x v="1"/>
    <n v="0.76"/>
    <n v="0.14000000000000001"/>
  </r>
  <r>
    <x v="6"/>
    <x v="1"/>
    <n v="0.7"/>
    <n v="0.18"/>
  </r>
  <r>
    <x v="7"/>
    <x v="1"/>
    <n v="0.68"/>
    <n v="0.17"/>
  </r>
  <r>
    <x v="8"/>
    <x v="1"/>
    <n v="0.66"/>
    <n v="0.21"/>
  </r>
  <r>
    <x v="9"/>
    <x v="1"/>
    <n v="0.6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0D2FA-673E-DB41-9285-6EAD33AC1AE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DE12-01D4-3749-B050-01F97D54295C}">
  <dimension ref="A1:K52"/>
  <sheetViews>
    <sheetView zoomScale="119" workbookViewId="0">
      <pane ySplit="1" topLeftCell="A2" activePane="bottomLeft" state="frozen"/>
      <selection pane="bottomLeft" activeCell="B1" sqref="B1:E52"/>
    </sheetView>
  </sheetViews>
  <sheetFormatPr baseColWidth="10" defaultRowHeight="16" x14ac:dyDescent="0.2"/>
  <cols>
    <col min="1" max="1" width="10.33203125" customWidth="1"/>
    <col min="2" max="2" width="16.1640625" customWidth="1"/>
    <col min="3" max="3" width="11.83203125" customWidth="1"/>
    <col min="4" max="4" width="10.83203125" customWidth="1"/>
    <col min="5" max="5" width="9.6640625" customWidth="1"/>
    <col min="6" max="6" width="11.5" customWidth="1"/>
    <col min="7" max="7" width="11.33203125" customWidth="1"/>
    <col min="11" max="11" width="14.5" customWidth="1"/>
  </cols>
  <sheetData>
    <row r="1" spans="1:11" x14ac:dyDescent="0.2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3">
        <f>COUNTA(B2:B52)</f>
        <v>51</v>
      </c>
      <c r="J1" s="4" t="s">
        <v>54</v>
      </c>
      <c r="K1" s="4" t="s">
        <v>55</v>
      </c>
    </row>
    <row r="2" spans="1:11" x14ac:dyDescent="0.2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2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2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2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2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2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2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2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2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2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2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2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2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2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2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2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2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2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2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2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2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2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2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2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2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2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2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2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2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2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2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2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2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2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2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2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2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2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2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2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2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2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2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2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2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2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2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2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1" xr:uid="{3E79DE12-01D4-3749-B050-01F97D54295C}"/>
  <sortState xmlns:xlrd2="http://schemas.microsoft.com/office/spreadsheetml/2017/richdata2" ref="A2:E52">
    <sortCondition ref="A1:A5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15C5-5857-0649-8DD3-28377E68338D}">
  <dimension ref="A1:AZ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 x14ac:dyDescent="0.2"/>
  <cols>
    <col min="1" max="1" width="16.1640625" customWidth="1"/>
    <col min="2" max="2" width="11.83203125" customWidth="1"/>
    <col min="4" max="4" width="9.6640625" customWidth="1"/>
  </cols>
  <sheetData>
    <row r="1" spans="1:52" x14ac:dyDescent="0.2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2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2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2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  <row r="5" spans="1:52" x14ac:dyDescent="0.2">
      <c r="B5" s="1"/>
      <c r="C5" s="1"/>
      <c r="D5" s="1"/>
    </row>
    <row r="6" spans="1:52" x14ac:dyDescent="0.2">
      <c r="B6" s="1"/>
      <c r="C6" s="1"/>
      <c r="D6" s="1"/>
    </row>
    <row r="7" spans="1:52" x14ac:dyDescent="0.2">
      <c r="B7" s="1"/>
      <c r="C7" s="1"/>
      <c r="D7" s="1"/>
    </row>
    <row r="8" spans="1:52" x14ac:dyDescent="0.2">
      <c r="B8" s="1"/>
      <c r="C8" s="1"/>
      <c r="D8" s="1"/>
    </row>
    <row r="9" spans="1:52" x14ac:dyDescent="0.2">
      <c r="B9" s="1"/>
      <c r="C9" s="1"/>
      <c r="D9" s="1"/>
    </row>
    <row r="10" spans="1:52" x14ac:dyDescent="0.2">
      <c r="B10" s="1"/>
      <c r="C10" s="1"/>
      <c r="D10" s="1"/>
    </row>
    <row r="11" spans="1:52" x14ac:dyDescent="0.2">
      <c r="B11" s="1"/>
      <c r="C11" s="1"/>
      <c r="D11" s="1"/>
    </row>
    <row r="12" spans="1:52" x14ac:dyDescent="0.2">
      <c r="B12" s="1"/>
      <c r="C12" s="1"/>
      <c r="D12" s="1"/>
    </row>
    <row r="13" spans="1:52" x14ac:dyDescent="0.2">
      <c r="B13" s="1"/>
      <c r="C13" s="1"/>
      <c r="D13" s="1"/>
    </row>
    <row r="14" spans="1:52" x14ac:dyDescent="0.2">
      <c r="B14" s="1"/>
      <c r="C14" s="1"/>
      <c r="D14" s="1"/>
    </row>
    <row r="15" spans="1:52" x14ac:dyDescent="0.2">
      <c r="B15" s="1"/>
      <c r="C15" s="1"/>
      <c r="D15" s="1"/>
    </row>
    <row r="16" spans="1:52" x14ac:dyDescent="0.2">
      <c r="B16" s="1"/>
      <c r="C16" s="1"/>
      <c r="D16" s="1"/>
    </row>
    <row r="17" spans="2:4" x14ac:dyDescent="0.2">
      <c r="B17" s="1"/>
      <c r="C17" s="1"/>
      <c r="D17" s="1"/>
    </row>
    <row r="18" spans="2:4" x14ac:dyDescent="0.2">
      <c r="B18" s="1"/>
      <c r="C18" s="1"/>
      <c r="D18" s="1"/>
    </row>
    <row r="19" spans="2:4" x14ac:dyDescent="0.2">
      <c r="B19" s="1"/>
      <c r="C19" s="1"/>
      <c r="D19" s="1"/>
    </row>
    <row r="20" spans="2:4" x14ac:dyDescent="0.2">
      <c r="B20" s="1"/>
      <c r="C20" s="1"/>
      <c r="D20" s="1"/>
    </row>
    <row r="21" spans="2:4" x14ac:dyDescent="0.2">
      <c r="B21" s="1"/>
      <c r="C21" s="1"/>
      <c r="D21" s="1"/>
    </row>
    <row r="22" spans="2:4" x14ac:dyDescent="0.2">
      <c r="B22" s="1"/>
      <c r="C22" s="1"/>
      <c r="D22" s="1"/>
    </row>
    <row r="23" spans="2:4" x14ac:dyDescent="0.2">
      <c r="B23" s="1"/>
      <c r="C23" s="1"/>
      <c r="D23" s="1"/>
    </row>
    <row r="24" spans="2:4" x14ac:dyDescent="0.2">
      <c r="B24" s="1"/>
      <c r="C24" s="1"/>
      <c r="D24" s="1"/>
    </row>
    <row r="25" spans="2:4" x14ac:dyDescent="0.2">
      <c r="B25" s="1"/>
      <c r="C25" s="1"/>
      <c r="D25" s="1"/>
    </row>
    <row r="26" spans="2:4" x14ac:dyDescent="0.2">
      <c r="B26" s="1"/>
      <c r="C26" s="1"/>
      <c r="D26" s="1"/>
    </row>
    <row r="27" spans="2:4" x14ac:dyDescent="0.2">
      <c r="B27" s="1"/>
      <c r="C27" s="1"/>
      <c r="D27" s="1"/>
    </row>
    <row r="28" spans="2:4" x14ac:dyDescent="0.2">
      <c r="B28" s="1"/>
      <c r="C28" s="1"/>
      <c r="D28" s="1"/>
    </row>
    <row r="29" spans="2:4" x14ac:dyDescent="0.2">
      <c r="B29" s="1"/>
      <c r="C29" s="1"/>
      <c r="D29" s="1"/>
    </row>
    <row r="30" spans="2:4" x14ac:dyDescent="0.2">
      <c r="B30" s="1"/>
      <c r="C30" s="1"/>
      <c r="D30" s="1"/>
    </row>
    <row r="31" spans="2:4" x14ac:dyDescent="0.2">
      <c r="B31" s="1"/>
      <c r="C31" s="1"/>
      <c r="D31" s="1"/>
    </row>
    <row r="32" spans="2:4" x14ac:dyDescent="0.2">
      <c r="B32" s="1"/>
      <c r="C32" s="1"/>
      <c r="D32" s="1"/>
    </row>
    <row r="33" spans="2:4" x14ac:dyDescent="0.2">
      <c r="B33" s="1"/>
      <c r="C33" s="1"/>
      <c r="D33" s="1"/>
    </row>
    <row r="34" spans="2:4" x14ac:dyDescent="0.2">
      <c r="B34" s="1"/>
      <c r="C34" s="1"/>
      <c r="D34" s="1"/>
    </row>
    <row r="35" spans="2:4" x14ac:dyDescent="0.2">
      <c r="B35" s="1"/>
      <c r="C35" s="1"/>
      <c r="D35" s="1"/>
    </row>
    <row r="36" spans="2:4" x14ac:dyDescent="0.2">
      <c r="B36" s="1"/>
      <c r="C36" s="1"/>
      <c r="D36" s="1"/>
    </row>
    <row r="37" spans="2:4" x14ac:dyDescent="0.2">
      <c r="B37" s="1"/>
      <c r="C37" s="1"/>
      <c r="D37" s="1"/>
    </row>
    <row r="38" spans="2:4" x14ac:dyDescent="0.2">
      <c r="B38" s="1"/>
      <c r="C38" s="1"/>
      <c r="D38" s="1"/>
    </row>
    <row r="39" spans="2:4" x14ac:dyDescent="0.2">
      <c r="B39" s="1"/>
      <c r="C39" s="1"/>
      <c r="D39" s="1"/>
    </row>
    <row r="40" spans="2:4" x14ac:dyDescent="0.2">
      <c r="B40" s="1"/>
      <c r="C40" s="1"/>
      <c r="D40" s="1"/>
    </row>
    <row r="41" spans="2:4" x14ac:dyDescent="0.2">
      <c r="B41" s="1"/>
      <c r="C41" s="1"/>
      <c r="D41" s="1"/>
    </row>
    <row r="42" spans="2:4" x14ac:dyDescent="0.2">
      <c r="B42" s="1"/>
      <c r="C42" s="1"/>
      <c r="D42" s="1"/>
    </row>
    <row r="43" spans="2:4" x14ac:dyDescent="0.2">
      <c r="B43" s="1"/>
      <c r="C43" s="1"/>
      <c r="D43" s="1"/>
    </row>
    <row r="44" spans="2:4" x14ac:dyDescent="0.2">
      <c r="B44" s="1"/>
      <c r="C44" s="1"/>
      <c r="D44" s="1"/>
    </row>
    <row r="45" spans="2:4" x14ac:dyDescent="0.2">
      <c r="B45" s="1"/>
      <c r="C45" s="1"/>
      <c r="D45" s="1"/>
    </row>
    <row r="46" spans="2:4" x14ac:dyDescent="0.2">
      <c r="B46" s="1"/>
      <c r="C46" s="1"/>
      <c r="D46" s="1"/>
    </row>
    <row r="47" spans="2:4" x14ac:dyDescent="0.2">
      <c r="B47" s="1"/>
      <c r="C47" s="1"/>
      <c r="D47" s="1"/>
    </row>
    <row r="48" spans="2:4" x14ac:dyDescent="0.2">
      <c r="B48" s="1"/>
      <c r="C48" s="1"/>
      <c r="D48" s="1"/>
    </row>
    <row r="49" spans="2:4" x14ac:dyDescent="0.2">
      <c r="B49" s="1"/>
      <c r="C49" s="1"/>
      <c r="D49" s="1"/>
    </row>
    <row r="50" spans="2:4" x14ac:dyDescent="0.2">
      <c r="B50" s="1"/>
      <c r="C50" s="1"/>
      <c r="D50" s="1"/>
    </row>
    <row r="51" spans="2:4" x14ac:dyDescent="0.2">
      <c r="B51" s="1"/>
      <c r="C51" s="1"/>
      <c r="D51" s="1"/>
    </row>
    <row r="52" spans="2:4" x14ac:dyDescent="0.2">
      <c r="B52" s="1"/>
      <c r="C52" s="1"/>
      <c r="D5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6611-A657-D444-A14D-A3A64A5E5C71}">
  <dimension ref="A1:D26"/>
  <sheetViews>
    <sheetView tabSelected="1" workbookViewId="0">
      <selection activeCell="I10" sqref="I10"/>
    </sheetView>
  </sheetViews>
  <sheetFormatPr baseColWidth="10" defaultRowHeight="16" x14ac:dyDescent="0.2"/>
  <cols>
    <col min="1" max="1" width="13" bestFit="1" customWidth="1"/>
    <col min="2" max="2" width="16.6640625" bestFit="1" customWidth="1"/>
    <col min="3" max="3" width="15.6640625" bestFit="1" customWidth="1"/>
  </cols>
  <sheetData>
    <row r="1" spans="1:4" x14ac:dyDescent="0.2">
      <c r="A1" t="s">
        <v>59</v>
      </c>
      <c r="B1" t="s">
        <v>60</v>
      </c>
      <c r="C1" t="s">
        <v>56</v>
      </c>
      <c r="D1" t="s">
        <v>57</v>
      </c>
    </row>
    <row r="2" spans="1:4" x14ac:dyDescent="0.2">
      <c r="A2" t="s">
        <v>38</v>
      </c>
      <c r="B2" t="s">
        <v>61</v>
      </c>
      <c r="C2" s="5">
        <f>VLOOKUP('Sales Region lookup'!A2, 'By Search Term'!B:C, 2, FALSE)</f>
        <v>0.67</v>
      </c>
      <c r="D2" s="5">
        <f>_xlfn.XLOOKUP(A2, 'By Search Term'!B1:B52, 'By Search Term'!D1:D52, "not found")</f>
        <v>0.19</v>
      </c>
    </row>
    <row r="3" spans="1:4" x14ac:dyDescent="0.2">
      <c r="A3" t="s">
        <v>37</v>
      </c>
      <c r="B3" t="s">
        <v>61</v>
      </c>
      <c r="C3" s="5">
        <f>VLOOKUP('Sales Region lookup'!A3, 'By Search Term'!B:C, 2, FALSE)</f>
        <v>0.68</v>
      </c>
      <c r="D3" s="5">
        <f>_xlfn.XLOOKUP(A3, 'By Search Term'!B2:B53, 'By Search Term'!D2:D53, "not found")</f>
        <v>0.18</v>
      </c>
    </row>
    <row r="4" spans="1:4" x14ac:dyDescent="0.2">
      <c r="A4" t="s">
        <v>31</v>
      </c>
      <c r="B4" t="s">
        <v>61</v>
      </c>
      <c r="C4" s="5">
        <f>VLOOKUP('Sales Region lookup'!A4, 'By Search Term'!B:C, 2, FALSE)</f>
        <v>0.67</v>
      </c>
      <c r="D4" s="5">
        <f>_xlfn.XLOOKUP(A4, 'By Search Term'!B3:B54, 'By Search Term'!D3:D54, "not found")</f>
        <v>0.19</v>
      </c>
    </row>
    <row r="5" spans="1:4" x14ac:dyDescent="0.2">
      <c r="A5" t="s">
        <v>48</v>
      </c>
      <c r="B5" t="s">
        <v>61</v>
      </c>
      <c r="C5" s="5">
        <f>VLOOKUP('Sales Region lookup'!A5, 'By Search Term'!B:C, 2, FALSE)</f>
        <v>0.73</v>
      </c>
      <c r="D5" s="5">
        <f>_xlfn.XLOOKUP(A5, 'By Search Term'!B4:B55, 'By Search Term'!D4:D55, "not found")</f>
        <v>0.15</v>
      </c>
    </row>
    <row r="6" spans="1:4" x14ac:dyDescent="0.2">
      <c r="A6" t="s">
        <v>34</v>
      </c>
      <c r="B6" t="s">
        <v>62</v>
      </c>
      <c r="C6" s="5">
        <f>VLOOKUP('Sales Region lookup'!A6, 'By Search Term'!B:C, 2, FALSE)</f>
        <v>0.7</v>
      </c>
      <c r="D6" s="5">
        <f>_xlfn.XLOOKUP(A6, 'By Search Term'!B5:B56, 'By Search Term'!D5:D56, "not found")</f>
        <v>0.18</v>
      </c>
    </row>
    <row r="7" spans="1:4" x14ac:dyDescent="0.2">
      <c r="A7" t="s">
        <v>44</v>
      </c>
      <c r="B7" t="s">
        <v>62</v>
      </c>
      <c r="C7" s="5">
        <f>VLOOKUP('Sales Region lookup'!A7, 'By Search Term'!B:C, 2, FALSE)</f>
        <v>0.76</v>
      </c>
      <c r="D7" s="5">
        <f>_xlfn.XLOOKUP(A7, 'By Search Term'!B6:B57, 'By Search Term'!D6:D57, "not found")</f>
        <v>0.14000000000000001</v>
      </c>
    </row>
    <row r="8" spans="1:4" x14ac:dyDescent="0.2">
      <c r="A8" t="s">
        <v>35</v>
      </c>
      <c r="B8" t="s">
        <v>62</v>
      </c>
      <c r="C8" s="5">
        <f>VLOOKUP('Sales Region lookup'!A8, 'By Search Term'!B:C, 2, FALSE)</f>
        <v>0.7</v>
      </c>
      <c r="D8" s="5">
        <f>_xlfn.XLOOKUP(A8, 'By Search Term'!B7:B58, 'By Search Term'!D7:D58, "not found")</f>
        <v>0.18</v>
      </c>
    </row>
    <row r="9" spans="1:4" x14ac:dyDescent="0.2">
      <c r="A9" t="s">
        <v>42</v>
      </c>
      <c r="B9" t="s">
        <v>62</v>
      </c>
      <c r="C9" s="5">
        <f>VLOOKUP('Sales Region lookup'!A9, 'By Search Term'!B:C, 2, FALSE)</f>
        <v>0.68</v>
      </c>
      <c r="D9" s="5">
        <f>_xlfn.XLOOKUP(A9, 'By Search Term'!B8:B59, 'By Search Term'!D8:D59, "not found")</f>
        <v>0.17</v>
      </c>
    </row>
    <row r="10" spans="1:4" x14ac:dyDescent="0.2">
      <c r="A10" t="s">
        <v>22</v>
      </c>
      <c r="B10" t="s">
        <v>62</v>
      </c>
      <c r="C10" s="5">
        <f>VLOOKUP('Sales Region lookup'!A10, 'By Search Term'!B:C, 2, FALSE)</f>
        <v>0.66</v>
      </c>
      <c r="D10" s="5">
        <f>_xlfn.XLOOKUP(A10, 'By Search Term'!B9:B60, 'By Search Term'!D9:D60, "not found")</f>
        <v>0.21</v>
      </c>
    </row>
    <row r="11" spans="1:4" x14ac:dyDescent="0.2">
      <c r="A11" t="s">
        <v>21</v>
      </c>
      <c r="B11" t="s">
        <v>62</v>
      </c>
      <c r="C11" s="5">
        <f>VLOOKUP('Sales Region lookup'!A11, 'By Search Term'!B:C, 2, FALSE)</f>
        <v>0.66</v>
      </c>
      <c r="D11" s="5">
        <f>_xlfn.XLOOKUP(A11, 'By Search Term'!B10:B61, 'By Search Term'!D10:D61, "not found")</f>
        <v>0.2</v>
      </c>
    </row>
    <row r="13" spans="1:4" x14ac:dyDescent="0.2">
      <c r="A13" s="6" t="s">
        <v>60</v>
      </c>
      <c r="B13" t="s">
        <v>63</v>
      </c>
    </row>
    <row r="15" spans="1:4" x14ac:dyDescent="0.2">
      <c r="A15" s="6" t="s">
        <v>64</v>
      </c>
      <c r="B15" t="s">
        <v>66</v>
      </c>
      <c r="C15" t="s">
        <v>67</v>
      </c>
    </row>
    <row r="16" spans="1:4" x14ac:dyDescent="0.2">
      <c r="A16" s="7" t="s">
        <v>31</v>
      </c>
      <c r="B16" s="1">
        <v>0.67</v>
      </c>
      <c r="C16" s="1">
        <v>0.19</v>
      </c>
    </row>
    <row r="17" spans="1:3" x14ac:dyDescent="0.2">
      <c r="A17" s="7" t="s">
        <v>21</v>
      </c>
      <c r="B17" s="1">
        <v>0.66</v>
      </c>
      <c r="C17" s="1">
        <v>0.2</v>
      </c>
    </row>
    <row r="18" spans="1:3" x14ac:dyDescent="0.2">
      <c r="A18" s="7" t="s">
        <v>42</v>
      </c>
      <c r="B18" s="1">
        <v>0.68</v>
      </c>
      <c r="C18" s="1">
        <v>0.17</v>
      </c>
    </row>
    <row r="19" spans="1:3" x14ac:dyDescent="0.2">
      <c r="A19" s="7" t="s">
        <v>48</v>
      </c>
      <c r="B19" s="1">
        <v>0.73</v>
      </c>
      <c r="C19" s="1">
        <v>0.15</v>
      </c>
    </row>
    <row r="20" spans="1:3" x14ac:dyDescent="0.2">
      <c r="A20" s="7" t="s">
        <v>35</v>
      </c>
      <c r="B20" s="1">
        <v>0.7</v>
      </c>
      <c r="C20" s="1">
        <v>0.18</v>
      </c>
    </row>
    <row r="21" spans="1:3" x14ac:dyDescent="0.2">
      <c r="A21" s="7" t="s">
        <v>34</v>
      </c>
      <c r="B21" s="1">
        <v>0.7</v>
      </c>
      <c r="C21" s="1">
        <v>0.18</v>
      </c>
    </row>
    <row r="22" spans="1:3" x14ac:dyDescent="0.2">
      <c r="A22" s="7" t="s">
        <v>37</v>
      </c>
      <c r="B22" s="1">
        <v>0.68</v>
      </c>
      <c r="C22" s="1">
        <v>0.18</v>
      </c>
    </row>
    <row r="23" spans="1:3" x14ac:dyDescent="0.2">
      <c r="A23" s="7" t="s">
        <v>44</v>
      </c>
      <c r="B23" s="1">
        <v>0.76</v>
      </c>
      <c r="C23" s="1">
        <v>0.14000000000000001</v>
      </c>
    </row>
    <row r="24" spans="1:3" x14ac:dyDescent="0.2">
      <c r="A24" s="7" t="s">
        <v>38</v>
      </c>
      <c r="B24" s="1">
        <v>0.67</v>
      </c>
      <c r="C24" s="1">
        <v>0.19</v>
      </c>
    </row>
    <row r="25" spans="1:3" x14ac:dyDescent="0.2">
      <c r="A25" s="7" t="s">
        <v>22</v>
      </c>
      <c r="B25" s="1">
        <v>0.66</v>
      </c>
      <c r="C25" s="1">
        <v>0.21</v>
      </c>
    </row>
    <row r="26" spans="1:3" x14ac:dyDescent="0.2">
      <c r="A26" s="7" t="s">
        <v>65</v>
      </c>
      <c r="B26" s="1">
        <v>6.91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cagla celik</dc:creator>
  <cp:lastModifiedBy>cagla celik</cp:lastModifiedBy>
  <dcterms:created xsi:type="dcterms:W3CDTF">2026-04-08T00:21:27Z</dcterms:created>
  <dcterms:modified xsi:type="dcterms:W3CDTF">2026-04-08T14:57:53Z</dcterms:modified>
</cp:coreProperties>
</file>