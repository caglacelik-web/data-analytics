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hidePivotFieldList="1"/>
  <mc:AlternateContent xmlns:mc="http://schemas.openxmlformats.org/markup-compatibility/2006">
    <mc:Choice Requires="x15">
      <x15ac:absPath xmlns:x15ac="http://schemas.microsoft.com/office/spreadsheetml/2010/11/ac" url="/Users/caglacelik/Documents/DataAnalytics/week-01/"/>
    </mc:Choice>
  </mc:AlternateContent>
  <xr:revisionPtr revIDLastSave="0" documentId="13_ncr:1_{4FE66CD1-58D3-544F-9DCA-9D7F90D6AFD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2" sheetId="2" r:id="rId1"/>
    <sheet name="Sheet1" sheetId="1" r:id="rId2"/>
  </sheets>
  <calcPr calcId="191029"/>
  <pivotCaches>
    <pivotCache cacheId="2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D10" i="1"/>
  <c r="D9" i="1"/>
  <c r="D8" i="1"/>
  <c r="D7" i="1"/>
  <c r="D6" i="1"/>
  <c r="D5" i="1"/>
  <c r="D4" i="1"/>
  <c r="D3" i="1"/>
  <c r="D2" i="1"/>
  <c r="D11" i="1" s="1"/>
</calcChain>
</file>

<file path=xl/sharedStrings.xml><?xml version="1.0" encoding="utf-8"?>
<sst xmlns="http://schemas.openxmlformats.org/spreadsheetml/2006/main" count="128" uniqueCount="59">
  <si>
    <t>ID</t>
  </si>
  <si>
    <t>Start time</t>
  </si>
  <si>
    <t>Completion time</t>
  </si>
  <si>
    <t>Email</t>
  </si>
  <si>
    <t>Name</t>
  </si>
  <si>
    <t>Last modified time</t>
  </si>
  <si>
    <t>What is your age?</t>
  </si>
  <si>
    <t>What is your gender?</t>
  </si>
  <si>
    <t>Where are you visiting from?</t>
  </si>
  <si>
    <t>How often do you visit our restaurant?</t>
  </si>
  <si>
    <t>Food</t>
  </si>
  <si>
    <t>Service</t>
  </si>
  <si>
    <t>Atmosphere</t>
  </si>
  <si>
    <t>How likely are you to return to our restaurant?</t>
  </si>
  <si>
    <t>Would you be interested in a rewards program or special promotions?</t>
  </si>
  <si>
    <t>Is there anything we could improve? (optional)</t>
  </si>
  <si>
    <t>ccelik@my.yearupunited.org</t>
  </si>
  <si>
    <t>cagla celik</t>
  </si>
  <si>
    <t>18-24</t>
  </si>
  <si>
    <t>Female</t>
  </si>
  <si>
    <t>Out of state</t>
  </si>
  <si>
    <t>First Time</t>
  </si>
  <si>
    <t>Good</t>
  </si>
  <si>
    <t>Average</t>
  </si>
  <si>
    <t>Excellent</t>
  </si>
  <si>
    <t>Both</t>
  </si>
  <si>
    <t>25-34</t>
  </si>
  <si>
    <t>Male</t>
  </si>
  <si>
    <t>Suburb</t>
  </si>
  <si>
    <t>Not interested</t>
  </si>
  <si>
    <t>okaraer@my.yearupunited.org</t>
  </si>
  <si>
    <t>onur karaer</t>
  </si>
  <si>
    <t>Yes, holiday/special day campaigns</t>
  </si>
  <si>
    <t>jnavarroservin@my.yearupunited.org</t>
  </si>
  <si>
    <t>jessica navarroservin</t>
  </si>
  <si>
    <t xml:space="preserve">Offer gluten-free options, please </t>
  </si>
  <si>
    <t>asago@my.yearupunited.org</t>
  </si>
  <si>
    <t>antwaushea sago</t>
  </si>
  <si>
    <t>Local</t>
  </si>
  <si>
    <t>tarista@my.yearupunited.org</t>
  </si>
  <si>
    <t>tracy arista</t>
  </si>
  <si>
    <t>Happy hour appetizer specials</t>
  </si>
  <si>
    <t>jalmarazflores@my.yearupunited.org</t>
  </si>
  <si>
    <t>julissa almarazflores</t>
  </si>
  <si>
    <t>point system</t>
  </si>
  <si>
    <t>ssimsek@my.yearupunited.org</t>
  </si>
  <si>
    <t>sultan simsek</t>
  </si>
  <si>
    <t>Fair</t>
  </si>
  <si>
    <t>Very Poor</t>
  </si>
  <si>
    <t>Under 18</t>
  </si>
  <si>
    <t>Prefer not to say</t>
  </si>
  <si>
    <t>Monthly</t>
  </si>
  <si>
    <t>Yes, rewards/loyalty program</t>
  </si>
  <si>
    <t>Time to Complete</t>
  </si>
  <si>
    <t>Row Labels</t>
  </si>
  <si>
    <t>Grand Total</t>
  </si>
  <si>
    <t>Count of How often do you visit our restaurant?</t>
  </si>
  <si>
    <t>Sum of How likely are you to return to our restaurant?</t>
  </si>
  <si>
    <t>Count of Would you be interested in a rewards program or special promotions?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</si>
</sst>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\ h:mm:ss"/>
    <numFmt numFmtId="171" formatCode="mm/dd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0" xfId="0" applyNumberFormat="1"/>
    <xf numFmtId="171" fontId="0" fillId="0" borderId="0" xfId="0" applyNumberFormat="1"/>
    <xf numFmtId="0" fontId="1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double">
          <color theme="4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71" formatCode="mm/dd/yyyy\ hh:mm:ss"/>
    </dxf>
    <dxf>
      <numFmt numFmtId="171" formatCode="mm/dd/yyyy\ hh:mm:ss"/>
    </dxf>
    <dxf>
      <numFmt numFmtId="171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71" formatCode="mm/dd/yyyy\ hh:mm:ss"/>
    </dxf>
    <dxf>
      <numFmt numFmtId="171" formatCode="mm/dd/yyyy\ hh:mm:ss"/>
    </dxf>
    <dxf>
      <numFmt numFmtId="171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[Saffron Table – Customer Experience &amp; Rewards Survey(1-9).xlsx]Sheet2!PivotTable4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0901393231357904E-3"/>
          <c:y val="0.23148148148148148"/>
          <c:w val="0.66237132759979811"/>
          <c:h val="0.76436789151356077"/>
        </c:manualLayout>
      </c:layout>
      <c:ofPieChart>
        <c:ofPieType val="bar"/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Count of How often do you visit our restaurant?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Sheet2!$A$2:$A$9</c:f>
              <c:multiLvlStrCache>
                <c:ptCount val="4"/>
                <c:lvl>
                  <c:pt idx="0">
                    <c:v>18-24</c:v>
                  </c:pt>
                  <c:pt idx="1">
                    <c:v>25-34</c:v>
                  </c:pt>
                  <c:pt idx="2">
                    <c:v>25-34</c:v>
                  </c:pt>
                  <c:pt idx="3">
                    <c:v>Under 18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  <c:pt idx="3">
                    <c:v>Prefer not to say</c:v>
                  </c:pt>
                </c:lvl>
              </c:multiLvlStrCache>
            </c:multiLvlStrRef>
          </c:cat>
          <c:val>
            <c:numRef>
              <c:f>Sheet2!$B$2:$B$9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F-3642-A3AF-F67BC314506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Sum of How likely are you to return to our restaurant?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Sheet2!$A$2:$A$9</c:f>
              <c:multiLvlStrCache>
                <c:ptCount val="4"/>
                <c:lvl>
                  <c:pt idx="0">
                    <c:v>18-24</c:v>
                  </c:pt>
                  <c:pt idx="1">
                    <c:v>25-34</c:v>
                  </c:pt>
                  <c:pt idx="2">
                    <c:v>25-34</c:v>
                  </c:pt>
                  <c:pt idx="3">
                    <c:v>Under 18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  <c:pt idx="3">
                    <c:v>Prefer not to say</c:v>
                  </c:pt>
                </c:lvl>
              </c:multiLvlStrCache>
            </c:multiLvlStrRef>
          </c:cat>
          <c:val>
            <c:numRef>
              <c:f>Sheet2!$C$2:$C$9</c:f>
              <c:numCache>
                <c:formatCode>General</c:formatCode>
                <c:ptCount val="4"/>
                <c:pt idx="0">
                  <c:v>6</c:v>
                </c:pt>
                <c:pt idx="1">
                  <c:v>36</c:v>
                </c:pt>
                <c:pt idx="2">
                  <c:v>17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1F-3642-A3AF-F67BC3145066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Count of Would you be interested in a rewards program or special promotions?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Sheet2!$A$2:$A$9</c:f>
              <c:multiLvlStrCache>
                <c:ptCount val="4"/>
                <c:lvl>
                  <c:pt idx="0">
                    <c:v>18-24</c:v>
                  </c:pt>
                  <c:pt idx="1">
                    <c:v>25-34</c:v>
                  </c:pt>
                  <c:pt idx="2">
                    <c:v>25-34</c:v>
                  </c:pt>
                  <c:pt idx="3">
                    <c:v>Under 18</c:v>
                  </c:pt>
                </c:lvl>
                <c:lvl>
                  <c:pt idx="0">
                    <c:v>Female</c:v>
                  </c:pt>
                  <c:pt idx="2">
                    <c:v>Male</c:v>
                  </c:pt>
                  <c:pt idx="3">
                    <c:v>Prefer not to say</c:v>
                  </c:pt>
                </c:lvl>
              </c:multiLvlStrCache>
            </c:multiLvlStrRef>
          </c:cat>
          <c:val>
            <c:numRef>
              <c:f>Sheet2!$D$2:$D$9</c:f>
              <c:numCache>
                <c:formatCode>General</c:formatCode>
                <c:ptCount val="4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1F-3642-A3AF-F67BC31450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267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[Saffron Table – Customer Experience &amp; Rewards Survey(1-9).xlsx]Sheet2!PivotTable6</c:name>
    <c:fmtId val="0"/>
  </c:pivotSource>
  <c:chart>
    <c:title>
      <c:layout>
        <c:manualLayout>
          <c:xMode val="edge"/>
          <c:yMode val="edge"/>
          <c:x val="0.3666666666666666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285714285714287E-2"/>
          <c:y val="0.16886066550129172"/>
          <c:w val="0.66098357705286837"/>
          <c:h val="0.79184660365391457"/>
        </c:manualLayout>
      </c:layout>
      <c:ofPieChart>
        <c:ofPieType val="bar"/>
        <c:varyColors val="1"/>
        <c:ser>
          <c:idx val="0"/>
          <c:order val="0"/>
          <c:tx>
            <c:strRef>
              <c:f>Sheet2!$B$26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Sheet2!$A$27:$A$30</c:f>
              <c:strCache>
                <c:ptCount val="3"/>
                <c:pt idx="0">
                  <c:v>Local</c:v>
                </c:pt>
                <c:pt idx="1">
                  <c:v>Out of state</c:v>
                </c:pt>
                <c:pt idx="2">
                  <c:v>Suburb</c:v>
                </c:pt>
              </c:strCache>
            </c:strRef>
          </c:cat>
          <c:val>
            <c:numRef>
              <c:f>Sheet2!$B$27:$B$30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E-6246-A724-C46B694D6B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219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1</xdr:row>
      <xdr:rowOff>63500</xdr:rowOff>
    </xdr:from>
    <xdr:to>
      <xdr:col>8</xdr:col>
      <xdr:colOff>1562100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9C29E-0148-3AF1-B538-F3562BEF7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1314450</xdr:colOff>
      <xdr:row>20</xdr:row>
      <xdr:rowOff>139700</xdr:rowOff>
    </xdr:from>
    <xdr:to>
      <xdr:col>7</xdr:col>
      <xdr:colOff>279400</xdr:colOff>
      <xdr:row>37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BE29F8-44C3-CF4C-EAD6-3829DF171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Çağla Çelik" refreshedDate="46120.86214351852" createdVersion="8" refreshedVersion="8" minRefreshableVersion="3" recordCount="9" xr:uid="{0A83970B-5210-6449-A29E-8AB408DC3B90}">
  <cacheSource type="worksheet">
    <worksheetSource name="Table1"/>
  </cacheSource>
  <cacheFields count="17">
    <cacheField name="ID" numFmtId="0">
      <sharedItems containsSemiMixedTypes="0" containsString="0" containsNumber="1" containsInteger="1" minValue="1" maxValue="9"/>
    </cacheField>
    <cacheField name="Start time" numFmtId="171">
      <sharedItems containsSemiMixedTypes="0" containsNonDate="0" containsDate="1" containsString="0" minDate="2026-04-07T19:13:44" maxDate="2026-04-08T19:58:01"/>
    </cacheField>
    <cacheField name="Completion time" numFmtId="171">
      <sharedItems containsSemiMixedTypes="0" containsNonDate="0" containsDate="1" containsString="0" minDate="2026-04-07T19:14:39" maxDate="2026-04-08T19:58:55"/>
    </cacheField>
    <cacheField name="Time to Complete" numFmtId="171">
      <sharedItems containsSemiMixedTypes="0" containsNonDate="0" containsDate="1" containsString="0" minDate="1899-12-30T00:00:38" maxDate="1899-12-30T00:04:49"/>
    </cacheField>
    <cacheField name="Email" numFmtId="0">
      <sharedItems/>
    </cacheField>
    <cacheField name="Name" numFmtId="0">
      <sharedItems count="7">
        <s v="cagla celik"/>
        <s v="onur karaer"/>
        <s v="jessica navarroservin"/>
        <s v="antwaushea sago"/>
        <s v="tracy arista"/>
        <s v="julissa almarazflores"/>
        <s v="sultan simsek"/>
      </sharedItems>
    </cacheField>
    <cacheField name="Last modified time" numFmtId="165">
      <sharedItems containsNonDate="0" containsString="0" containsBlank="1"/>
    </cacheField>
    <cacheField name="What is your age?" numFmtId="0">
      <sharedItems count="3">
        <s v="18-24"/>
        <s v="25-34"/>
        <s v="Under 18"/>
      </sharedItems>
    </cacheField>
    <cacheField name="What is your gender?" numFmtId="0">
      <sharedItems count="3">
        <s v="Female"/>
        <s v="Male"/>
        <s v="Prefer not to say"/>
      </sharedItems>
    </cacheField>
    <cacheField name="Where are you visiting from?" numFmtId="0">
      <sharedItems count="3">
        <s v="Out of state"/>
        <s v="Suburb"/>
        <s v="Local"/>
      </sharedItems>
    </cacheField>
    <cacheField name="How often do you visit our restaurant?" numFmtId="0">
      <sharedItems/>
    </cacheField>
    <cacheField name="Food" numFmtId="0">
      <sharedItems count="3">
        <s v="Good"/>
        <s v="Excellent"/>
        <s v="Fair"/>
      </sharedItems>
    </cacheField>
    <cacheField name="Service" numFmtId="0">
      <sharedItems/>
    </cacheField>
    <cacheField name="Atmosphere" numFmtId="0">
      <sharedItems/>
    </cacheField>
    <cacheField name="How likely are you to return to our restaurant?" numFmtId="0">
      <sharedItems containsSemiMixedTypes="0" containsString="0" containsNumber="1" containsInteger="1" minValue="6" maxValue="9"/>
    </cacheField>
    <cacheField name="Would you be interested in a rewards program or special promotions?" numFmtId="0">
      <sharedItems count="4">
        <s v="Both"/>
        <s v="Not interested"/>
        <s v="Yes, holiday/special day campaigns"/>
        <s v="Yes, rewards/loyalty program"/>
      </sharedItems>
    </cacheField>
    <cacheField name="Is there anything we could improve? (optional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"/>
    <d v="2026-04-07T19:13:44"/>
    <d v="2026-04-07T19:14:39"/>
    <d v="1899-12-30T00:00:55"/>
    <s v="ccelik@my.yearupunited.org"/>
    <x v="0"/>
    <m/>
    <x v="0"/>
    <x v="0"/>
    <x v="0"/>
    <s v="First Time"/>
    <x v="0"/>
    <s v="Average"/>
    <s v="Excellent"/>
    <n v="6"/>
    <x v="0"/>
    <m/>
  </r>
  <r>
    <n v="2"/>
    <d v="2026-04-07T20:08:33"/>
    <d v="2026-04-07T20:09:29"/>
    <d v="1899-12-30T00:00:56"/>
    <s v="ccelik@my.yearupunited.org"/>
    <x v="0"/>
    <m/>
    <x v="1"/>
    <x v="1"/>
    <x v="1"/>
    <s v="First Time"/>
    <x v="0"/>
    <s v="Good"/>
    <s v="Excellent"/>
    <n v="9"/>
    <x v="1"/>
    <m/>
  </r>
  <r>
    <n v="3"/>
    <d v="2026-04-08T10:27:58"/>
    <d v="2026-04-08T10:28:36"/>
    <d v="1899-12-30T00:00:38"/>
    <s v="okaraer@my.yearupunited.org"/>
    <x v="1"/>
    <m/>
    <x v="1"/>
    <x v="1"/>
    <x v="0"/>
    <s v="First Time"/>
    <x v="1"/>
    <s v="Good"/>
    <s v="Good"/>
    <n v="8"/>
    <x v="2"/>
    <m/>
  </r>
  <r>
    <n v="4"/>
    <d v="2026-04-08T15:24:28"/>
    <d v="2026-04-08T15:26:23"/>
    <d v="1899-12-30T00:01:55"/>
    <s v="jnavarroservin@my.yearupunited.org"/>
    <x v="2"/>
    <m/>
    <x v="1"/>
    <x v="0"/>
    <x v="0"/>
    <s v="First Time"/>
    <x v="1"/>
    <s v="Average"/>
    <s v="Good"/>
    <n v="8"/>
    <x v="0"/>
    <s v="Offer gluten-free options, please "/>
  </r>
  <r>
    <n v="5"/>
    <d v="2026-04-08T15:28:13"/>
    <d v="2026-04-08T15:29:04"/>
    <d v="1899-12-30T00:00:51"/>
    <s v="asago@my.yearupunited.org"/>
    <x v="3"/>
    <m/>
    <x v="1"/>
    <x v="0"/>
    <x v="2"/>
    <s v="First Time"/>
    <x v="1"/>
    <s v="Good"/>
    <s v="Good"/>
    <n v="8"/>
    <x v="0"/>
    <m/>
  </r>
  <r>
    <n v="6"/>
    <d v="2026-04-08T15:27:27"/>
    <d v="2026-04-08T15:32:16"/>
    <d v="1899-12-30T00:04:49"/>
    <s v="tarista@my.yearupunited.org"/>
    <x v="4"/>
    <m/>
    <x v="1"/>
    <x v="0"/>
    <x v="1"/>
    <s v="First Time"/>
    <x v="0"/>
    <s v="Average"/>
    <s v="Excellent"/>
    <n v="6"/>
    <x v="2"/>
    <s v="Happy hour appetizer specials"/>
  </r>
  <r>
    <n v="7"/>
    <d v="2026-04-08T17:46:39"/>
    <d v="2026-04-08T17:47:32"/>
    <d v="1899-12-30T00:00:53"/>
    <s v="jalmarazflores@my.yearupunited.org"/>
    <x v="5"/>
    <m/>
    <x v="1"/>
    <x v="0"/>
    <x v="2"/>
    <s v="First Time"/>
    <x v="0"/>
    <s v="Good"/>
    <s v="Good"/>
    <n v="8"/>
    <x v="0"/>
    <s v="point system"/>
  </r>
  <r>
    <n v="8"/>
    <d v="2026-04-08T19:42:03"/>
    <d v="2026-04-08T19:43:07"/>
    <d v="1899-12-30T00:01:04"/>
    <s v="ssimsek@my.yearupunited.org"/>
    <x v="6"/>
    <m/>
    <x v="1"/>
    <x v="0"/>
    <x v="2"/>
    <s v="First Time"/>
    <x v="2"/>
    <s v="Very Poor"/>
    <s v="Average"/>
    <n v="6"/>
    <x v="0"/>
    <m/>
  </r>
  <r>
    <n v="9"/>
    <d v="2026-04-08T19:58:01"/>
    <d v="2026-04-08T19:58:55"/>
    <d v="1899-12-30T00:00:54"/>
    <s v="ccelik@my.yearupunited.org"/>
    <x v="0"/>
    <m/>
    <x v="2"/>
    <x v="2"/>
    <x v="2"/>
    <s v="Monthly"/>
    <x v="0"/>
    <s v="Average"/>
    <s v="Excellent"/>
    <n v="9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E5037-A13E-C744-BA11-8D41C30BE5AC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:B30" firstHeaderRow="1" firstDataRow="1" firstDataCol="1"/>
  <pivotFields count="17">
    <pivotField showAll="0"/>
    <pivotField numFmtId="171" showAll="0"/>
    <pivotField numFmtId="171" showAll="0"/>
    <pivotField numFmtId="171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>
      <items count="5">
        <item x="0"/>
        <item x="1"/>
        <item x="2"/>
        <item x="3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ould you be interested in a rewards program or special promotions?" fld="15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8CF95-84EE-5445-B2A8-129F74008DA9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:D9" firstHeaderRow="0" firstDataRow="1" firstDataCol="1"/>
  <pivotFields count="17">
    <pivotField showAll="0"/>
    <pivotField numFmtId="171" showAll="0"/>
    <pivotField numFmtId="171" showAll="0"/>
    <pivotField numFmtId="171" showAll="0"/>
    <pivotField showAll="0"/>
    <pivotField showAll="0">
      <items count="8">
        <item x="3"/>
        <item x="0"/>
        <item x="2"/>
        <item x="5"/>
        <item x="1"/>
        <item x="6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2">
    <field x="8"/>
    <field x="7"/>
  </rowFields>
  <rowItems count="8">
    <i>
      <x/>
    </i>
    <i r="1">
      <x/>
    </i>
    <i r="1">
      <x v="1"/>
    </i>
    <i>
      <x v="1"/>
    </i>
    <i r="1">
      <x v="1"/>
    </i>
    <i>
      <x v="2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How often do you visit our restaurant?" fld="10" subtotal="count" baseField="0" baseItem="0"/>
    <dataField name="Sum of How likely are you to return to our restaurant?" fld="14" baseField="0" baseItem="0"/>
    <dataField name="Count of Would you be interested in a rewards program or special promotions?" fld="15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1" totalsRowCount="1">
  <autoFilter ref="A1:Q10" xr:uid="{00000000-0009-0000-0100-000001000000}"/>
  <tableColumns count="17">
    <tableColumn id="1" xr3:uid="{00000000-0010-0000-0000-000001000000}" name="ID" dataDxfId="33" totalsRowDxfId="16"/>
    <tableColumn id="2" xr3:uid="{00000000-0010-0000-0000-000002000000}" name="Start time" dataDxfId="32" totalsRowDxfId="15"/>
    <tableColumn id="3" xr3:uid="{00000000-0010-0000-0000-000003000000}" name="Completion time" dataDxfId="31" totalsRowDxfId="14"/>
    <tableColumn id="18" xr3:uid="{3005146E-BF14-6343-98C9-B4EC21C96205}" name="Time to Complete" totalsRowFunction="custom" dataDxfId="30" totalsRowDxfId="13">
      <calculatedColumnFormula>C2-B2</calculatedColumnFormula>
      <totalsRowFormula>AVERAGE(D2:D10)</totalsRowFormula>
    </tableColumn>
    <tableColumn id="4" xr3:uid="{00000000-0010-0000-0000-000004000000}" name="Email" dataDxfId="29" totalsRowDxfId="12"/>
    <tableColumn id="5" xr3:uid="{00000000-0010-0000-0000-000005000000}" name="Name" dataDxfId="28" totalsRowDxfId="11"/>
    <tableColumn id="6" xr3:uid="{00000000-0010-0000-0000-000006000000}" name="Last modified time" dataDxfId="27" totalsRowDxfId="10"/>
    <tableColumn id="7" xr3:uid="{00000000-0010-0000-0000-000007000000}" name="What is your age?" dataDxfId="26" totalsRowDxfId="9"/>
    <tableColumn id="8" xr3:uid="{00000000-0010-0000-0000-000008000000}" name="What is your gender?" dataDxfId="25" totalsRowDxfId="8"/>
    <tableColumn id="9" xr3:uid="{00000000-0010-0000-0000-000009000000}" name="Where are you visiting from?" dataDxfId="24" totalsRowDxfId="7"/>
    <tableColumn id="10" xr3:uid="{00000000-0010-0000-0000-00000A000000}" name="How often do you visit our restaurant?" dataDxfId="23" totalsRowDxfId="6"/>
    <tableColumn id="11" xr3:uid="{00000000-0010-0000-0000-00000B000000}" name="Food" dataDxfId="22" totalsRowDxfId="5"/>
    <tableColumn id="12" xr3:uid="{00000000-0010-0000-0000-00000C000000}" name="Service" dataDxfId="21" totalsRowDxfId="4"/>
    <tableColumn id="13" xr3:uid="{00000000-0010-0000-0000-00000D000000}" name="Atmosphere" dataDxfId="20" totalsRowDxfId="3"/>
    <tableColumn id="14" xr3:uid="{00000000-0010-0000-0000-00000E000000}" name="How likely are you to return to our restaurant?" totalsRowFunction="custom" dataDxfId="19" totalsRowDxfId="2">
      <totalsRowFormula>AVERAGE(O2:O10)</totalsRowFormula>
    </tableColumn>
    <tableColumn id="15" xr3:uid="{00000000-0010-0000-0000-00000F000000}" name="Would you be interested in a rewards program or special promotions?" dataDxfId="18" totalsRowDxfId="1"/>
    <tableColumn id="16" xr3:uid="{00000000-0010-0000-0000-000010000000}" name="Is there anything we could improve? (optional)" dataDxfId="17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8BE2-6601-0940-AC91-0A3ABB7A36FE}">
  <dimension ref="A1:D30"/>
  <sheetViews>
    <sheetView tabSelected="1" workbookViewId="0">
      <selection activeCell="H30" sqref="H30"/>
    </sheetView>
  </sheetViews>
  <sheetFormatPr baseColWidth="10" defaultRowHeight="15" x14ac:dyDescent="0.2"/>
  <cols>
    <col min="1" max="1" width="12.1640625" bestFit="1" customWidth="1"/>
    <col min="2" max="2" width="37.5" customWidth="1"/>
    <col min="3" max="3" width="12.5" bestFit="1" customWidth="1"/>
    <col min="4" max="4" width="18" customWidth="1"/>
    <col min="5" max="5" width="24" bestFit="1" customWidth="1"/>
    <col min="6" max="6" width="10" bestFit="1" customWidth="1"/>
    <col min="7" max="7" width="5.33203125" bestFit="1" customWidth="1"/>
    <col min="8" max="8" width="42.33203125" bestFit="1" customWidth="1"/>
    <col min="9" max="9" width="47.5" bestFit="1" customWidth="1"/>
  </cols>
  <sheetData>
    <row r="1" spans="1:4" x14ac:dyDescent="0.2">
      <c r="A1" s="5" t="s">
        <v>54</v>
      </c>
      <c r="B1" t="s">
        <v>56</v>
      </c>
      <c r="C1" t="s">
        <v>57</v>
      </c>
      <c r="D1" t="s">
        <v>58</v>
      </c>
    </row>
    <row r="2" spans="1:4" x14ac:dyDescent="0.2">
      <c r="A2" s="6" t="s">
        <v>19</v>
      </c>
      <c r="B2" s="2">
        <v>6</v>
      </c>
      <c r="C2" s="2">
        <v>42</v>
      </c>
      <c r="D2" s="2">
        <v>6</v>
      </c>
    </row>
    <row r="3" spans="1:4" x14ac:dyDescent="0.2">
      <c r="A3" s="7" t="s">
        <v>18</v>
      </c>
      <c r="B3" s="2">
        <v>1</v>
      </c>
      <c r="C3" s="2">
        <v>6</v>
      </c>
      <c r="D3" s="2">
        <v>1</v>
      </c>
    </row>
    <row r="4" spans="1:4" x14ac:dyDescent="0.2">
      <c r="A4" s="7" t="s">
        <v>26</v>
      </c>
      <c r="B4" s="2">
        <v>5</v>
      </c>
      <c r="C4" s="2">
        <v>36</v>
      </c>
      <c r="D4" s="2">
        <v>5</v>
      </c>
    </row>
    <row r="5" spans="1:4" x14ac:dyDescent="0.2">
      <c r="A5" s="6" t="s">
        <v>27</v>
      </c>
      <c r="B5" s="2">
        <v>2</v>
      </c>
      <c r="C5" s="2">
        <v>17</v>
      </c>
      <c r="D5" s="2">
        <v>2</v>
      </c>
    </row>
    <row r="6" spans="1:4" x14ac:dyDescent="0.2">
      <c r="A6" s="7" t="s">
        <v>26</v>
      </c>
      <c r="B6" s="2">
        <v>2</v>
      </c>
      <c r="C6" s="2">
        <v>17</v>
      </c>
      <c r="D6" s="2">
        <v>2</v>
      </c>
    </row>
    <row r="7" spans="1:4" x14ac:dyDescent="0.2">
      <c r="A7" s="6" t="s">
        <v>50</v>
      </c>
      <c r="B7" s="2">
        <v>1</v>
      </c>
      <c r="C7" s="2">
        <v>9</v>
      </c>
      <c r="D7" s="2">
        <v>1</v>
      </c>
    </row>
    <row r="8" spans="1:4" x14ac:dyDescent="0.2">
      <c r="A8" s="7" t="s">
        <v>49</v>
      </c>
      <c r="B8" s="2">
        <v>1</v>
      </c>
      <c r="C8" s="2">
        <v>9</v>
      </c>
      <c r="D8" s="2">
        <v>1</v>
      </c>
    </row>
    <row r="9" spans="1:4" x14ac:dyDescent="0.2">
      <c r="A9" s="6" t="s">
        <v>55</v>
      </c>
      <c r="B9" s="2">
        <v>9</v>
      </c>
      <c r="C9" s="2">
        <v>68</v>
      </c>
      <c r="D9" s="2">
        <v>9</v>
      </c>
    </row>
    <row r="26" spans="1:2" x14ac:dyDescent="0.2">
      <c r="A26" s="5" t="s">
        <v>54</v>
      </c>
      <c r="B26" t="s">
        <v>58</v>
      </c>
    </row>
    <row r="27" spans="1:2" x14ac:dyDescent="0.2">
      <c r="A27" s="6" t="s">
        <v>38</v>
      </c>
      <c r="B27" s="2">
        <v>4</v>
      </c>
    </row>
    <row r="28" spans="1:2" x14ac:dyDescent="0.2">
      <c r="A28" s="6" t="s">
        <v>20</v>
      </c>
      <c r="B28" s="2">
        <v>3</v>
      </c>
    </row>
    <row r="29" spans="1:2" x14ac:dyDescent="0.2">
      <c r="A29" s="6" t="s">
        <v>28</v>
      </c>
      <c r="B29" s="2">
        <v>2</v>
      </c>
    </row>
    <row r="30" spans="1:2" x14ac:dyDescent="0.2">
      <c r="A30" s="6" t="s">
        <v>55</v>
      </c>
      <c r="B30" s="2">
        <v>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0" bestFit="1" customWidth="1"/>
    <col min="2" max="3" width="20" style="3" bestFit="1" customWidth="1"/>
    <col min="4" max="4" width="20.83203125" style="3" customWidth="1"/>
    <col min="5" max="5" width="29.1640625" customWidth="1"/>
    <col min="6" max="7" width="20" bestFit="1" customWidth="1"/>
    <col min="8" max="8" width="20.6640625" customWidth="1"/>
    <col min="9" max="14" width="20" bestFit="1" customWidth="1"/>
    <col min="15" max="15" width="18.6640625" customWidth="1"/>
    <col min="16" max="16" width="27.1640625" customWidth="1"/>
    <col min="17" max="17" width="26.1640625" customWidth="1"/>
  </cols>
  <sheetData>
    <row r="1" spans="1:17" x14ac:dyDescent="0.2">
      <c r="A1" t="s">
        <v>0</v>
      </c>
      <c r="B1" s="3" t="s">
        <v>1</v>
      </c>
      <c r="C1" s="3" t="s">
        <v>2</v>
      </c>
      <c r="D1" s="3" t="s">
        <v>53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1</v>
      </c>
      <c r="B2" s="3">
        <v>46119.801203703697</v>
      </c>
      <c r="C2" s="3">
        <v>46119.801840277803</v>
      </c>
      <c r="D2" s="3">
        <f t="shared" ref="D2:D10" si="0">C2-B2</f>
        <v>6.3657410646555945E-4</v>
      </c>
      <c r="E2" t="s">
        <v>16</v>
      </c>
      <c r="F2" t="s">
        <v>17</v>
      </c>
      <c r="G2" s="1"/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>
        <v>6</v>
      </c>
      <c r="P2" t="s">
        <v>25</v>
      </c>
    </row>
    <row r="3" spans="1:17" x14ac:dyDescent="0.2">
      <c r="A3">
        <v>2</v>
      </c>
      <c r="B3" s="3">
        <v>46119.839270833298</v>
      </c>
      <c r="C3" s="3">
        <v>46119.839918981503</v>
      </c>
      <c r="D3" s="3">
        <f t="shared" si="0"/>
        <v>6.4814820507308468E-4</v>
      </c>
      <c r="E3" t="s">
        <v>16</v>
      </c>
      <c r="F3" t="s">
        <v>17</v>
      </c>
      <c r="G3" s="1"/>
      <c r="H3" t="s">
        <v>26</v>
      </c>
      <c r="I3" t="s">
        <v>27</v>
      </c>
      <c r="J3" t="s">
        <v>28</v>
      </c>
      <c r="K3" t="s">
        <v>21</v>
      </c>
      <c r="L3" t="s">
        <v>22</v>
      </c>
      <c r="M3" t="s">
        <v>22</v>
      </c>
      <c r="N3" t="s">
        <v>24</v>
      </c>
      <c r="O3">
        <v>9</v>
      </c>
      <c r="P3" t="s">
        <v>29</v>
      </c>
    </row>
    <row r="4" spans="1:17" x14ac:dyDescent="0.2">
      <c r="A4">
        <v>3</v>
      </c>
      <c r="B4" s="3">
        <v>46120.436087962997</v>
      </c>
      <c r="C4" s="3">
        <v>46120.436527777798</v>
      </c>
      <c r="D4" s="3">
        <f t="shared" si="0"/>
        <v>4.3981480121146888E-4</v>
      </c>
      <c r="E4" t="s">
        <v>30</v>
      </c>
      <c r="F4" t="s">
        <v>31</v>
      </c>
      <c r="G4" s="1"/>
      <c r="H4" t="s">
        <v>26</v>
      </c>
      <c r="I4" t="s">
        <v>27</v>
      </c>
      <c r="J4" t="s">
        <v>20</v>
      </c>
      <c r="K4" t="s">
        <v>21</v>
      </c>
      <c r="L4" t="s">
        <v>24</v>
      </c>
      <c r="M4" t="s">
        <v>22</v>
      </c>
      <c r="N4" t="s">
        <v>22</v>
      </c>
      <c r="O4">
        <v>8</v>
      </c>
      <c r="P4" t="s">
        <v>32</v>
      </c>
    </row>
    <row r="5" spans="1:17" x14ac:dyDescent="0.2">
      <c r="A5">
        <v>4</v>
      </c>
      <c r="B5" s="3">
        <v>46120.641990740703</v>
      </c>
      <c r="C5" s="3">
        <v>46120.6433217593</v>
      </c>
      <c r="D5" s="3">
        <f t="shared" si="0"/>
        <v>1.3310185968293808E-3</v>
      </c>
      <c r="E5" t="s">
        <v>33</v>
      </c>
      <c r="F5" t="s">
        <v>34</v>
      </c>
      <c r="G5" s="1"/>
      <c r="H5" t="s">
        <v>26</v>
      </c>
      <c r="I5" t="s">
        <v>19</v>
      </c>
      <c r="J5" t="s">
        <v>20</v>
      </c>
      <c r="K5" t="s">
        <v>21</v>
      </c>
      <c r="L5" t="s">
        <v>24</v>
      </c>
      <c r="M5" t="s">
        <v>23</v>
      </c>
      <c r="N5" t="s">
        <v>22</v>
      </c>
      <c r="O5">
        <v>8</v>
      </c>
      <c r="P5" t="s">
        <v>25</v>
      </c>
      <c r="Q5" t="s">
        <v>35</v>
      </c>
    </row>
    <row r="6" spans="1:17" x14ac:dyDescent="0.2">
      <c r="A6">
        <v>5</v>
      </c>
      <c r="B6" s="3">
        <v>46120.644594907397</v>
      </c>
      <c r="C6" s="3">
        <v>46120.645185185203</v>
      </c>
      <c r="D6" s="3">
        <f t="shared" si="0"/>
        <v>5.9027780662290752E-4</v>
      </c>
      <c r="E6" t="s">
        <v>36</v>
      </c>
      <c r="F6" t="s">
        <v>37</v>
      </c>
      <c r="G6" s="1"/>
      <c r="H6" t="s">
        <v>26</v>
      </c>
      <c r="I6" t="s">
        <v>19</v>
      </c>
      <c r="J6" t="s">
        <v>38</v>
      </c>
      <c r="K6" t="s">
        <v>21</v>
      </c>
      <c r="L6" t="s">
        <v>24</v>
      </c>
      <c r="M6" t="s">
        <v>22</v>
      </c>
      <c r="N6" t="s">
        <v>22</v>
      </c>
      <c r="O6">
        <v>8</v>
      </c>
      <c r="P6" t="s">
        <v>25</v>
      </c>
    </row>
    <row r="7" spans="1:17" x14ac:dyDescent="0.2">
      <c r="A7">
        <v>6</v>
      </c>
      <c r="B7" s="3">
        <v>46120.644062500003</v>
      </c>
      <c r="C7" s="3">
        <v>46120.647407407399</v>
      </c>
      <c r="D7" s="3">
        <f t="shared" si="0"/>
        <v>3.3449073962401599E-3</v>
      </c>
      <c r="E7" t="s">
        <v>39</v>
      </c>
      <c r="F7" t="s">
        <v>40</v>
      </c>
      <c r="G7" s="1"/>
      <c r="H7" t="s">
        <v>26</v>
      </c>
      <c r="I7" t="s">
        <v>19</v>
      </c>
      <c r="J7" t="s">
        <v>28</v>
      </c>
      <c r="K7" t="s">
        <v>21</v>
      </c>
      <c r="L7" t="s">
        <v>22</v>
      </c>
      <c r="M7" t="s">
        <v>23</v>
      </c>
      <c r="N7" t="s">
        <v>24</v>
      </c>
      <c r="O7">
        <v>6</v>
      </c>
      <c r="P7" t="s">
        <v>32</v>
      </c>
      <c r="Q7" t="s">
        <v>41</v>
      </c>
    </row>
    <row r="8" spans="1:17" x14ac:dyDescent="0.2">
      <c r="A8">
        <v>7</v>
      </c>
      <c r="B8" s="3">
        <v>46120.740729166697</v>
      </c>
      <c r="C8" s="3">
        <v>46120.741342592599</v>
      </c>
      <c r="D8" s="3">
        <f t="shared" si="0"/>
        <v>6.1342590197455138E-4</v>
      </c>
      <c r="E8" t="s">
        <v>42</v>
      </c>
      <c r="F8" t="s">
        <v>43</v>
      </c>
      <c r="G8" s="1"/>
      <c r="H8" t="s">
        <v>26</v>
      </c>
      <c r="I8" t="s">
        <v>19</v>
      </c>
      <c r="J8" t="s">
        <v>38</v>
      </c>
      <c r="K8" t="s">
        <v>21</v>
      </c>
      <c r="L8" t="s">
        <v>22</v>
      </c>
      <c r="M8" t="s">
        <v>22</v>
      </c>
      <c r="N8" t="s">
        <v>22</v>
      </c>
      <c r="O8">
        <v>8</v>
      </c>
      <c r="P8" t="s">
        <v>25</v>
      </c>
      <c r="Q8" t="s">
        <v>44</v>
      </c>
    </row>
    <row r="9" spans="1:17" x14ac:dyDescent="0.2">
      <c r="A9">
        <v>8</v>
      </c>
      <c r="B9" s="3">
        <v>46120.820868055598</v>
      </c>
      <c r="C9" s="3">
        <v>46120.821608796301</v>
      </c>
      <c r="D9" s="3">
        <f t="shared" si="0"/>
        <v>7.4074070289498195E-4</v>
      </c>
      <c r="E9" t="s">
        <v>45</v>
      </c>
      <c r="F9" t="s">
        <v>46</v>
      </c>
      <c r="G9" s="1"/>
      <c r="H9" t="s">
        <v>26</v>
      </c>
      <c r="I9" t="s">
        <v>19</v>
      </c>
      <c r="J9" t="s">
        <v>38</v>
      </c>
      <c r="K9" t="s">
        <v>21</v>
      </c>
      <c r="L9" t="s">
        <v>47</v>
      </c>
      <c r="M9" t="s">
        <v>48</v>
      </c>
      <c r="N9" t="s">
        <v>23</v>
      </c>
      <c r="O9">
        <v>6</v>
      </c>
      <c r="P9" t="s">
        <v>25</v>
      </c>
    </row>
    <row r="10" spans="1:17" ht="16" thickBot="1" x14ac:dyDescent="0.25">
      <c r="A10">
        <v>9</v>
      </c>
      <c r="B10" s="3">
        <v>46120.831956018497</v>
      </c>
      <c r="C10" s="3">
        <v>46120.832581018498</v>
      </c>
      <c r="D10" s="3">
        <f t="shared" si="0"/>
        <v>6.2500000058207661E-4</v>
      </c>
      <c r="E10" t="s">
        <v>16</v>
      </c>
      <c r="F10" t="s">
        <v>17</v>
      </c>
      <c r="G10" s="1"/>
      <c r="H10" t="s">
        <v>49</v>
      </c>
      <c r="I10" t="s">
        <v>50</v>
      </c>
      <c r="J10" t="s">
        <v>38</v>
      </c>
      <c r="K10" t="s">
        <v>51</v>
      </c>
      <c r="L10" t="s">
        <v>22</v>
      </c>
      <c r="M10" t="s">
        <v>23</v>
      </c>
      <c r="N10" t="s">
        <v>24</v>
      </c>
      <c r="O10">
        <v>9</v>
      </c>
      <c r="P10" t="s">
        <v>52</v>
      </c>
    </row>
    <row r="11" spans="1:17" ht="16" thickTop="1" x14ac:dyDescent="0.2">
      <c r="A11" s="2"/>
      <c r="D11" s="3">
        <f>AVERAGE(D2:D10)</f>
        <v>9.966563908771302E-4</v>
      </c>
      <c r="E11" s="2"/>
      <c r="F11" s="2"/>
      <c r="G11" s="1"/>
      <c r="H11" s="2"/>
      <c r="I11" s="2"/>
      <c r="J11" s="2"/>
      <c r="K11" s="2"/>
      <c r="L11" s="2"/>
      <c r="M11" s="2"/>
      <c r="N11" s="2"/>
      <c r="O11" s="2">
        <f>AVERAGE(O2:O10)</f>
        <v>7.5555555555555554</v>
      </c>
      <c r="P11" s="4"/>
      <c r="Q11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cagla celik</cp:lastModifiedBy>
  <dcterms:created xsi:type="dcterms:W3CDTF">2026-04-09T01:18:03Z</dcterms:created>
  <dcterms:modified xsi:type="dcterms:W3CDTF">2026-04-09T01:51:39Z</dcterms:modified>
</cp:coreProperties>
</file>